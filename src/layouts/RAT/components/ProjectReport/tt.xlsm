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25" codeName="{00000000-0000-0000-0000-000000000000}"/>
  <workbookPr codeName="DieseArbeitsmappe"/>
  <mc:AlternateContent xmlns:mc="http://schemas.openxmlformats.org/markup-compatibility/2006">
    <mc:Choice Requires="x15">
      <x15ac:absPath xmlns:x15ac="http://schemas.microsoft.com/office/spreadsheetml/2010/11/ac" url="https://netorg3241412-my.sharepoint.com/personal/said_ahcene_progressions_ca/Documents/Desktop/MX LRV Risk Assessment/01 Operational Zone/"/>
    </mc:Choice>
  </mc:AlternateContent>
  <xr:revisionPtr revIDLastSave="16" documentId="8_{32A0652E-27B6-4337-8181-05B190EA0086}" xr6:coauthVersionLast="47" xr6:coauthVersionMax="47" xr10:uidLastSave="{6DA0B9BE-DBD3-45B7-B7DD-DC862483D01E}"/>
  <bookViews>
    <workbookView xWindow="-110" yWindow="-110" windowWidth="19420" windowHeight="10420" xr2:uid="{00000000-000D-0000-FFFF-FFFF00000000}"/>
  </bookViews>
  <sheets>
    <sheet name="Threats" sheetId="1" r:id="rId1"/>
    <sheet name="Functions" sheetId="2" r:id="rId2"/>
    <sheet name="Definitions" sheetId="3" r:id="rId3"/>
    <sheet name="Risk Level" sheetId="103" r:id="rId4"/>
    <sheet name="SL-T" sheetId="104" r:id="rId5"/>
  </sheets>
  <definedNames>
    <definedName name="_xlnm._FilterDatabase" localSheetId="0" hidden="1">Threats!$A$1:$Q$1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1" l="1"/>
  <c r="O42" i="1"/>
  <c r="O41" i="1"/>
  <c r="O34" i="1"/>
  <c r="O33" i="1"/>
  <c r="O29" i="1"/>
  <c r="O28" i="1"/>
  <c r="O27" i="1"/>
  <c r="O26" i="1"/>
  <c r="O24" i="1"/>
  <c r="O22" i="1"/>
  <c r="O19" i="1"/>
  <c r="O15" i="1"/>
  <c r="O7" i="1"/>
</calcChain>
</file>

<file path=xl/sharedStrings.xml><?xml version="1.0" encoding="utf-8"?>
<sst xmlns="http://schemas.openxmlformats.org/spreadsheetml/2006/main" count="993" uniqueCount="301">
  <si>
    <t>Type (ISO 27005)</t>
  </si>
  <si>
    <t>Threats (ISO 27005)</t>
  </si>
  <si>
    <t>Origin</t>
  </si>
  <si>
    <t>Threat Description</t>
  </si>
  <si>
    <t>Applicability</t>
  </si>
  <si>
    <t>Critical Impact Factor</t>
  </si>
  <si>
    <t>Tactics, Techniques, Procedures (TTP)
Step 1</t>
  </si>
  <si>
    <t>Tactics, Techniques, Procedures (TTP)
Step 2</t>
  </si>
  <si>
    <t>Threat Actor</t>
  </si>
  <si>
    <t>Affected Assets</t>
  </si>
  <si>
    <t>Entry Point</t>
  </si>
  <si>
    <t>Assessment Comment</t>
  </si>
  <si>
    <t>Exposure</t>
  </si>
  <si>
    <t>Vulnerability</t>
  </si>
  <si>
    <t>Likelihood</t>
  </si>
  <si>
    <t>IEC 62443</t>
  </si>
  <si>
    <t>Physical damage</t>
  </si>
  <si>
    <t>Fire</t>
  </si>
  <si>
    <t>A, D, E</t>
  </si>
  <si>
    <t>fire detection is a train function group</t>
  </si>
  <si>
    <t>no</t>
  </si>
  <si>
    <t>n/a</t>
  </si>
  <si>
    <t>-</t>
  </si>
  <si>
    <t>Water damage</t>
  </si>
  <si>
    <t>not applicable</t>
  </si>
  <si>
    <t>Pollution</t>
  </si>
  <si>
    <t>Major accident</t>
  </si>
  <si>
    <t>handled by train functions</t>
  </si>
  <si>
    <t>Destruction of equipment or media</t>
  </si>
  <si>
    <t>An attacker destroys BCHAs, networking devices or cabling.</t>
  </si>
  <si>
    <t>yes</t>
  </si>
  <si>
    <t>Availability
Confidentiality
Business</t>
  </si>
  <si>
    <t>The attacker applies excessive electrical power to system interfaces (e.g. service ports, open network ports)</t>
  </si>
  <si>
    <t>Maintenance Staff</t>
  </si>
  <si>
    <t>BCHA</t>
  </si>
  <si>
    <t>Physical Access</t>
  </si>
  <si>
    <t>Exposure is considered moderate as the attacker requires physical access to the unit
Vulnerability is considered moderate as the attacker needs suitable equipment to connect to the unit.</t>
  </si>
  <si>
    <t>FR 7</t>
  </si>
  <si>
    <t>Threat actor acquires physical access to the train and uses brute force to damage interior or exterior equipment.</t>
  </si>
  <si>
    <t>Others</t>
  </si>
  <si>
    <t>Exposure is considered moderate as the attacker requires physical access to the unit
Vulnerability is considered low, as the unit is installed in an robust housing.</t>
  </si>
  <si>
    <t>Dust, corrosion, freezing</t>
  </si>
  <si>
    <t>results in failure or malfunction</t>
  </si>
  <si>
    <t>Natural events</t>
  </si>
  <si>
    <t>Climatic phenomenon</t>
  </si>
  <si>
    <t>E</t>
  </si>
  <si>
    <t>Seismic phenomenon</t>
  </si>
  <si>
    <t>Volcanic phenomenon</t>
  </si>
  <si>
    <t>Meteorological phenomenon</t>
  </si>
  <si>
    <t>Flood</t>
  </si>
  <si>
    <t>Loss of essential services</t>
  </si>
  <si>
    <t>Failure of air-conditioning or water supply system</t>
  </si>
  <si>
    <t>A, D</t>
  </si>
  <si>
    <t>HVAC is a train function group</t>
  </si>
  <si>
    <t>Loss of power supply</t>
  </si>
  <si>
    <t>An Attacker interrupts power supply of subsystem assets in order to cause interruption of train operation.</t>
  </si>
  <si>
    <t>Safety
Availability
Confidentiality
Business</t>
  </si>
  <si>
    <t>Threat actor acquires physical access to the BCHA and disconnects power cord or pulling the switch</t>
  </si>
  <si>
    <t>Maintenance Staff,
Others</t>
  </si>
  <si>
    <t>Exposure is considered moderate as the attacker requires physical access to the unit
Vulnerability is considered low. The threat scenario is easy to execute, but device failure is reported immediately to TCMS.</t>
  </si>
  <si>
    <t>Failure of telecommunication equipment</t>
  </si>
  <si>
    <t>Telecommunications is part of  train function groups</t>
  </si>
  <si>
    <t>Disturbance due to radiation</t>
  </si>
  <si>
    <t>Electromagnetic radiation</t>
  </si>
  <si>
    <t>risk value from IRA below tolerable risk</t>
  </si>
  <si>
    <t>Thermal radiation</t>
  </si>
  <si>
    <t>Thermal operating conditions are considered when designing/selecting train borne equipment. Therefore, this threat is not considered relevant here</t>
  </si>
  <si>
    <t>Electromagnetic pulses</t>
  </si>
  <si>
    <t xml:space="preserve">A threat actor emits strong EMPs in order to interfere with data transmission or device availability. </t>
  </si>
  <si>
    <t>Availability</t>
  </si>
  <si>
    <t>The threat actor installs a EMPs emitter in the train or close to the railroad</t>
  </si>
  <si>
    <t>Cyber Terrorist</t>
  </si>
  <si>
    <t>Exposure is considered moderate as the attacker needs physical access to the train. Vulnerability is considered low as the BCHA features suitable protection for railway operations.</t>
  </si>
  <si>
    <t>Compromise of information</t>
  </si>
  <si>
    <t>Interception of compromising interference signals</t>
  </si>
  <si>
    <t>D</t>
  </si>
  <si>
    <t>FR 4</t>
  </si>
  <si>
    <t>Remote spying</t>
  </si>
  <si>
    <t>Eavesdropping</t>
  </si>
  <si>
    <t>A Threat actor eavesdrops the communication with the BCHA control unit to gain credentials that can be used in further attacks</t>
  </si>
  <si>
    <t>Confidentiality</t>
  </si>
  <si>
    <t>The threat actor acquires network access to the operational network, through the TCN-GW from the comfort network or ETB</t>
  </si>
  <si>
    <t>Hacker,
Nation State</t>
  </si>
  <si>
    <r>
      <rPr>
        <sz val="10"/>
        <color rgb="FFFF0000"/>
        <rFont val="Arial"/>
        <family val="2"/>
      </rPr>
      <t>Comfort Network</t>
    </r>
    <r>
      <rPr>
        <sz val="10"/>
        <color theme="1"/>
        <rFont val="Arial"/>
        <family val="2"/>
      </rPr>
      <t>,
ETB</t>
    </r>
  </si>
  <si>
    <t>Exposure of the BCHA is considered low as the attacker must traverse networks. Vulnerability is considered moderate as the attacker needs experience in network analysis</t>
  </si>
  <si>
    <t>Theft of media or documents</t>
  </si>
  <si>
    <t>There are no removable storage media in the subsystem</t>
  </si>
  <si>
    <t>Theft of equipment</t>
  </si>
  <si>
    <t xml:space="preserve">The threat actor steals a BCHA to analyze the unit or to tamper with hardware or software. </t>
  </si>
  <si>
    <t>Confidentiality
Business</t>
  </si>
  <si>
    <t>The threat actor removes the unit from a train while it is in maintenance or service.</t>
  </si>
  <si>
    <t>Cyber Crime,Groups,
Nation State</t>
  </si>
  <si>
    <t>Exposure is considered low as theft of an installed unit is easily detected. A threat actor would choose a different path to acquire a BCHA.
Vulnerability is considered low as the device is mounted to the train.</t>
  </si>
  <si>
    <t>FR 3</t>
  </si>
  <si>
    <t>Retrieval of recycled or discarded media</t>
  </si>
  <si>
    <t>There are no removable storage media present in the subsystem</t>
  </si>
  <si>
    <t>Disclosure</t>
  </si>
  <si>
    <t>A threat actor might disclose sensitive information (credentials, vulnerabilities) to draw attention to vulnerabilities.</t>
  </si>
  <si>
    <t>The threat actor performs a security assessment or penetration test against his/her device</t>
  </si>
  <si>
    <t>The threat actor acquires a BCHA (new or disposed)</t>
  </si>
  <si>
    <t>Hacker
Engineering Staff</t>
  </si>
  <si>
    <t>Exposure is considered moderate as the attacker needs physical access to a BCHA. Vulnerability is moderate as sound technical expertise is required for security testing</t>
  </si>
  <si>
    <t>Data from untrustworthy sources</t>
  </si>
  <si>
    <t>A threat actor might send incorrect TRDP data to the BCHA leading to degrade service quality</t>
  </si>
  <si>
    <t>Availability
Business</t>
  </si>
  <si>
    <t>Threat actor crafts malicious TRDP data for the BCHA</t>
  </si>
  <si>
    <t>Hacker,
Cyber Terrorist</t>
  </si>
  <si>
    <r>
      <rPr>
        <sz val="10"/>
        <color rgb="FFFF0000"/>
        <rFont val="Arial"/>
        <family val="2"/>
      </rPr>
      <t>Comfort Network,</t>
    </r>
    <r>
      <rPr>
        <sz val="10"/>
        <color theme="1"/>
        <rFont val="Arial"/>
        <family val="2"/>
      </rPr>
      <t xml:space="preserve">
ETB</t>
    </r>
  </si>
  <si>
    <t>Exposure of the BCHA is considered low as the attacker must traverse networks.
Vulnerability is considered moderate as only skilled threat actors with background in railway communications are able to conduct the attack</t>
  </si>
  <si>
    <t>Tampering with hardware</t>
  </si>
  <si>
    <t>A threat actor might replace a BCHA with a tampered version that provides backdoors to the operational network for further attacks</t>
  </si>
  <si>
    <t>The threat actor installs a tampered device on the train.</t>
  </si>
  <si>
    <t>The threat actor acquires access to trains in production or maintenance facilities.</t>
  </si>
  <si>
    <t>Nation State</t>
  </si>
  <si>
    <t>Exposure is considered low as the threat actor needs physical access to maintenance or production facilities.
Vulnerability is considered low given the effort required for building a tampered device.</t>
  </si>
  <si>
    <t>Tampering with software</t>
  </si>
  <si>
    <t>A threat actor installs malicious code on an BCHA to use the BCHA as pivot for further attacks.</t>
  </si>
  <si>
    <t>The threat actor identifies a vulnerability (e.g. scripting or API interfaces in the firmware) to run arbitrary code on the BCHA.</t>
  </si>
  <si>
    <t>Hacker,
Cyber Terrorist,
Nation State</t>
  </si>
  <si>
    <t>Exposure is considered low as the attacker must traverse networks.
Vulnerability is considered moderate as the considered threat actors have the capability to conduct such an attack. Success depends on the presence of vulnerabilities</t>
  </si>
  <si>
    <t>Position detection</t>
  </si>
  <si>
    <t>not relevant as train position is not confidential</t>
  </si>
  <si>
    <t>Technical failures</t>
  </si>
  <si>
    <t>Equipment failure</t>
  </si>
  <si>
    <t>A</t>
  </si>
  <si>
    <t>Safety and Availability impact is considered in RAMS. A security issue resulting from BCHA failure is not identified.</t>
  </si>
  <si>
    <t>Equipment malfunction</t>
  </si>
  <si>
    <t>Saturation of the information system</t>
  </si>
  <si>
    <t xml:space="preserve">The attacker executes a DoS attack against one ore more BCHA. The attacker might use this ability to interrupt train operation or to blackmail operators. </t>
  </si>
  <si>
    <t>The attacker is able to send crafted packets after analysis of the network.</t>
  </si>
  <si>
    <t>The attacker gains control over an asset in the operational network.</t>
  </si>
  <si>
    <t>Cyber Terrorist,
Cyber Crime, Groups</t>
  </si>
  <si>
    <r>
      <rPr>
        <sz val="10"/>
        <color rgb="FFFF0000"/>
        <rFont val="Arial"/>
        <family val="2"/>
      </rPr>
      <t>Comfort Network</t>
    </r>
    <r>
      <rPr>
        <sz val="10"/>
        <color theme="1"/>
        <rFont val="Arial"/>
        <family val="2"/>
      </rPr>
      <t>,
ETB,
IP-RS</t>
    </r>
  </si>
  <si>
    <t>Exposure is considered low as the attacker has to traverse other networks before having access to the operational network. 
Vulnerability is considered moderate as the attacker must be familiar with railway communications</t>
  </si>
  <si>
    <t>Software malfunction</t>
  </si>
  <si>
    <t>Malformed or invalid network traffic leads to unintended behavior (e.g. resource exhaustion, unintended door opening, false feedback of door state to TCMS)</t>
  </si>
  <si>
    <t>Safety
Availability
Business</t>
  </si>
  <si>
    <t>Exposure is considered low as the attacker has to traverse other networks before having access to the operational network. 
Vulnerability is considered low as railway equipment is thoroughly tested before entering a train</t>
  </si>
  <si>
    <t>Breach of information system maintainability</t>
  </si>
  <si>
    <t>Unauthorized actions</t>
  </si>
  <si>
    <t>Unauthorized use of equipment</t>
  </si>
  <si>
    <t>The BCHA is not intended for direct use. Thus unauthorized use is not considered.</t>
  </si>
  <si>
    <t>FR 2</t>
  </si>
  <si>
    <t>Fraudulent copying of software</t>
  </si>
  <si>
    <t>not applicable to train functions. This threat targets more at the lifecycle processes.</t>
  </si>
  <si>
    <t>Use of counterfeit or copied software</t>
  </si>
  <si>
    <t>All software that is installed on subsystem assets is controlled by configuration management</t>
  </si>
  <si>
    <t>Corruption of data</t>
  </si>
  <si>
    <t>No additional threat can be identified for "Corruption of Data". See 4S_09.T25, 4S_09.T26</t>
  </si>
  <si>
    <t>Illegal processing of data</t>
  </si>
  <si>
    <t>The subsystem processes operational data. Illegal processing of data is not possible except for abuse of rights (see below)</t>
  </si>
  <si>
    <t>FR 1</t>
  </si>
  <si>
    <t>Compromise of functions</t>
  </si>
  <si>
    <t>Error in use</t>
  </si>
  <si>
    <t>The threat actor (accidentally) misconfigures subsystem assets. This might enable other attackers to exploit the emerging vulnerability</t>
  </si>
  <si>
    <t>A member of maintenance staff leaves a subsystem asset configured incorrectly (e.g. does not follow recommended procedures).</t>
  </si>
  <si>
    <t>Physical Access,
Operational Network</t>
  </si>
  <si>
    <t>Exposure is considered moderate as local access to one of the assets is necessary.
Vulnerability is considered low as it is assumed that maintenance staff assumed to be well trained.</t>
  </si>
  <si>
    <t>Abuse of rights</t>
  </si>
  <si>
    <t>Staff members abuse their permissions in order to exifiltrate sensitive data (e.g. credentials) for personal gain.</t>
  </si>
  <si>
    <t>The threat actor connects to a subsystem asset as legitimate user and collects data from the system</t>
  </si>
  <si>
    <t xml:space="preserve">The threat actor connects directly to the service port of the asset or with a service computer to one of the ring switches </t>
  </si>
  <si>
    <t>Maintenance Staff,
Engineering Staff,
Suppliers</t>
  </si>
  <si>
    <t>Physical Access,
Ring Switches</t>
  </si>
  <si>
    <t>Exposure is moderate as the access to the subsystem is physically restricted
Vulnerability is considered low as the amount of sensitive data on a BCHA is very limited.</t>
  </si>
  <si>
    <t>Forging of rights</t>
  </si>
  <si>
    <t>There is only a single user or role on the BCHA control unit. Forging of rights is not possible</t>
  </si>
  <si>
    <t>Denial of actions</t>
  </si>
  <si>
    <t>Breach of personnel availability</t>
  </si>
  <si>
    <t>FR 6</t>
  </si>
  <si>
    <t>Impact / Consequence</t>
  </si>
  <si>
    <t>Function Groups</t>
  </si>
  <si>
    <t>Function Description</t>
  </si>
  <si>
    <t>Justification</t>
  </si>
  <si>
    <t>Train Safety</t>
  </si>
  <si>
    <t>Train Availability</t>
  </si>
  <si>
    <t>Data Confidentiality</t>
  </si>
  <si>
    <t>Business</t>
  </si>
  <si>
    <t>2F_01.02 Auxiliary Electrical Supply</t>
  </si>
  <si>
    <t>2F_01.02 includes the following functionalities:
- Manage auxiliary power supply
- External power supply
The auxiliary power supply for the CAPAXIA platform consists of two different aux busses, a 720V DC bus and a 3AC 400V bus. The busses are supplied by one ACM per end car and each can be split via interlink contactor.</t>
  </si>
  <si>
    <r>
      <rPr>
        <b/>
        <sz val="10"/>
        <rFont val="Arial"/>
        <family val="2"/>
      </rPr>
      <t>Safety:</t>
    </r>
    <r>
      <rPr>
        <sz val="10"/>
        <rFont val="Arial"/>
        <family val="2"/>
      </rPr>
      <t xml:space="preserve"> Malfunction or failure in the electrical supply system can lead to critical accidents (electrical shock)
</t>
    </r>
    <r>
      <rPr>
        <b/>
        <sz val="10"/>
        <rFont val="Arial"/>
        <family val="2"/>
      </rPr>
      <t>Availability:</t>
    </r>
    <r>
      <rPr>
        <sz val="10"/>
        <rFont val="Arial"/>
        <family val="2"/>
      </rPr>
      <t xml:space="preserve"> The train cannot move if there is a malfunction or failure in the auxiliary electrical supply system leading to interruptions on the line the train operates on.
</t>
    </r>
    <r>
      <rPr>
        <b/>
        <sz val="10"/>
        <rFont val="Arial"/>
        <family val="2"/>
      </rPr>
      <t>Confidentiality:</t>
    </r>
    <r>
      <rPr>
        <sz val="10"/>
        <rFont val="Arial"/>
        <family val="2"/>
      </rPr>
      <t xml:space="preserve"> As an essential train function the Auxiliary Electrical Supply function might allow an attacker to execute critical commands. Critical commands may lead to standstill on main line track and loss of heating.
</t>
    </r>
    <r>
      <rPr>
        <b/>
        <sz val="10"/>
        <rFont val="Arial"/>
        <family val="2"/>
      </rPr>
      <t>Business:</t>
    </r>
    <r>
      <rPr>
        <sz val="10"/>
        <rFont val="Arial"/>
        <family val="2"/>
      </rPr>
      <t xml:space="preserve"> As an essential train function the business impact is considered significant</t>
    </r>
  </si>
  <si>
    <t>B</t>
  </si>
  <si>
    <t>C</t>
  </si>
  <si>
    <t>Threat Applicability</t>
  </si>
  <si>
    <t>Risk</t>
  </si>
  <si>
    <t>Impact</t>
  </si>
  <si>
    <t>Value</t>
  </si>
  <si>
    <t>Keyword</t>
  </si>
  <si>
    <t>Description</t>
  </si>
  <si>
    <t>Threat is considered relevant for the SuC</t>
  </si>
  <si>
    <t>Low</t>
  </si>
  <si>
    <t>Threat is considered _not_ relevant for the SuC</t>
  </si>
  <si>
    <t>Medium</t>
  </si>
  <si>
    <t>High</t>
  </si>
  <si>
    <t>Threat Evaluation</t>
  </si>
  <si>
    <t>Extreme</t>
  </si>
  <si>
    <t>low</t>
  </si>
  <si>
    <t xml:space="preserve">Highly restricted logical or physical access for attacker, e.g. 
- highly restricted network and physical access, or 
- product or components cannot be acquired by attacker or only with high effort </t>
  </si>
  <si>
    <t>- Successful attack is only possible for a small group of attackers with high hacking skills (high capabilities needed) 
- Vulnerability is only exploitable with high effort, and if strong technical difficulties can be solved, non-public information about inner workings of system is required 
- State of the art security measures to counter the threat</t>
  </si>
  <si>
    <t>moderate</t>
  </si>
  <si>
    <t xml:space="preserve">Restricted logical or physical access for attacker, e.g. 
- internal network access required, or 
- restricted physical access, or 
- product or components can be acquired by attacker with medium effort </t>
  </si>
  <si>
    <t>- Successful attack is feasible for an attacker with average hacking skills (medium capabilities needed) 
- Vulnerability is exploitable with medium effort, requiring special technology, domain or tool knowledge 
- Some security measures to counter the threat 
- Medium chance for attacker to be traced and prosecuted</t>
  </si>
  <si>
    <t>high</t>
  </si>
  <si>
    <t>Easy logical or physical access for attacker, e.g. 
- Internet access sufficient, or 
- public physical access, or 
- attacker has access as part of daily work, operation, or maintenance activities, or 
- product or components can be acquired by attacker with low effort</t>
  </si>
  <si>
    <t xml:space="preserve">- Successful attack is easy to perform, even for an unskilled attacker (little capabilities needed) 
- Vulnerability can be exploited easily with low effort, since no tools are required, or suitable attack tools freely exist. 
- No or only weak security measures to counter the attack caused by the threat 
- Low chance for attacker to be traced and prosecuted </t>
  </si>
  <si>
    <t>Impact analysis</t>
  </si>
  <si>
    <t>Category</t>
  </si>
  <si>
    <t>Business Integrity</t>
  </si>
  <si>
    <t>catastrophic</t>
  </si>
  <si>
    <t xml:space="preserve">Catastrophic accident, typically affecting a large number of people and leading to multiple fatalities </t>
  </si>
  <si>
    <t xml:space="preserve">Major interruption of operation affecting a network or a fleet or loss of service to more than 500.000 people for a long time1 </t>
  </si>
  <si>
    <t xml:space="preserve">Loss of security related information. e. g. credentials, giving direct access to the system and leading to catastrophic safety, availability or business impacts. </t>
  </si>
  <si>
    <t xml:space="preserve">Catastrophic business impact possibly leading to bankruptcy or loss of license of operator </t>
  </si>
  <si>
    <t xml:space="preserve">Critical accident, typically affecting a small number of people and leading to a single fatality </t>
  </si>
  <si>
    <t xml:space="preserve">Major interruption of operation affecting a network or a fleet or loss of service to more than 500.000 people for a significant time1 or of a line or station or few vehicles for a long time </t>
  </si>
  <si>
    <t xml:space="preserve">Loss of security related information, no direct access to the system is possible (physical protection), attacker could perform commands leading to at least critical availability, safety and business impacts. </t>
  </si>
  <si>
    <t xml:space="preserve">Critical business impact possibly leading to severe impact in revenue or earnings (&gt;10% on annual basis) </t>
  </si>
  <si>
    <t xml:space="preserve">safety implications, typically leading to injuries requiring hospitalization </t>
  </si>
  <si>
    <t xml:space="preserve">Significant interruption of operation affection a network or fleet or more than 500.000 people for a short time1 OR of a line or station or few vehicles for a significant time </t>
  </si>
  <si>
    <t xml:space="preserve">Loss of security related information, no direct access to the system is possible (physical protection), attacker cannot perform any critical safety-related commands; for example: only read access to diagnostic data is possible; loss of data under data protection law or commercially sensitive data </t>
  </si>
  <si>
    <t xml:space="preserve">Significant business impact possibly leading to substantial impact on revenue or earnings (on annual basis) </t>
  </si>
  <si>
    <t xml:space="preserve">minor safety implications, typically leading to injuries without hospitalization </t>
  </si>
  <si>
    <t xml:space="preserve">Significant interruption of operation of a line or station or a few vehicles for a significant time </t>
  </si>
  <si>
    <t xml:space="preserve">Loss of non-security relevant data, data are not under data protection; attacker can make commercial use of the data by combing with other information </t>
  </si>
  <si>
    <t xml:space="preserve">Marginal business impact </t>
  </si>
  <si>
    <t>negligible</t>
  </si>
  <si>
    <t xml:space="preserve">typically, no safety implications </t>
  </si>
  <si>
    <t xml:space="preserve">typically, no influence </t>
  </si>
  <si>
    <t xml:space="preserve">Loss of non-security relevant data, data are not under data protection </t>
  </si>
  <si>
    <t xml:space="preserve">Negligible business impact </t>
  </si>
  <si>
    <t>Threat Actors</t>
  </si>
  <si>
    <t>Internal actors</t>
  </si>
  <si>
    <t>Operational Staff</t>
  </si>
  <si>
    <t>(staff, contractors and service providers)</t>
  </si>
  <si>
    <t>IT and OT Engineering Staff</t>
  </si>
  <si>
    <t>Contractors and Service Providers</t>
  </si>
  <si>
    <t>Suppliers</t>
  </si>
  <si>
    <t>Other staff</t>
  </si>
  <si>
    <t>External actors</t>
  </si>
  <si>
    <t>Cyber terrorists</t>
  </si>
  <si>
    <t>Issue-motivated groups</t>
  </si>
  <si>
    <t>Former staff and contractors</t>
  </si>
  <si>
    <t>Cybercrime groups</t>
  </si>
  <si>
    <t>Nation state actors</t>
  </si>
  <si>
    <t>Hackers</t>
  </si>
  <si>
    <t>Others e. g. passengers (e. g. with infected devices)</t>
  </si>
  <si>
    <t>Risk Level</t>
  </si>
  <si>
    <t>Maximum Value in Line</t>
  </si>
  <si>
    <t>Threat ID</t>
  </si>
  <si>
    <t>4S_09.T01</t>
  </si>
  <si>
    <t>4S_09.T02</t>
  </si>
  <si>
    <t>4S_09.T03</t>
  </si>
  <si>
    <t>4S_09.T04</t>
  </si>
  <si>
    <t>4S_09.T05</t>
  </si>
  <si>
    <t>4S_09.T06</t>
  </si>
  <si>
    <t>4S_09.T07</t>
  </si>
  <si>
    <t>4S_09.T08</t>
  </si>
  <si>
    <t>4S_09.T09</t>
  </si>
  <si>
    <t>4S_09.T10</t>
  </si>
  <si>
    <t>4S_09.T11</t>
  </si>
  <si>
    <t>4S_09.T12</t>
  </si>
  <si>
    <t>4S_09.T13</t>
  </si>
  <si>
    <t>4S_09.T14</t>
  </si>
  <si>
    <t>4S_09.T15</t>
  </si>
  <si>
    <t>4S_09.T16</t>
  </si>
  <si>
    <t>4S_09.T17</t>
  </si>
  <si>
    <t>4S_09.T18</t>
  </si>
  <si>
    <t>4S_09.T19</t>
  </si>
  <si>
    <t>4S_09.T20</t>
  </si>
  <si>
    <t>4S_09.T21</t>
  </si>
  <si>
    <t>4S_09.T22</t>
  </si>
  <si>
    <t>4S_09.T23</t>
  </si>
  <si>
    <t>4S_09.T24</t>
  </si>
  <si>
    <t>4S_09.T25</t>
  </si>
  <si>
    <t>4S_09.T26</t>
  </si>
  <si>
    <t>4S_09.T27</t>
  </si>
  <si>
    <t>4S_09.T28</t>
  </si>
  <si>
    <t>4S_09.T29</t>
  </si>
  <si>
    <t>4S_09.T30</t>
  </si>
  <si>
    <t>4S_09.T31</t>
  </si>
  <si>
    <t>4S_09.T32</t>
  </si>
  <si>
    <t>4S_09.T33</t>
  </si>
  <si>
    <t>4S_09.T34</t>
  </si>
  <si>
    <t>4S_09.T35</t>
  </si>
  <si>
    <t>4S_09.T36</t>
  </si>
  <si>
    <t>4S_09.T37</t>
  </si>
  <si>
    <t>4S_09.T38</t>
  </si>
  <si>
    <t>4S_09.T39</t>
  </si>
  <si>
    <t>4S_09.T40</t>
  </si>
  <si>
    <t>4S_09.T41</t>
  </si>
  <si>
    <t>4S_09.T42</t>
  </si>
  <si>
    <t>4S_09.T43</t>
  </si>
  <si>
    <t>4S_09.T44</t>
  </si>
  <si>
    <t>Foundational Requirements</t>
  </si>
  <si>
    <t>SL-T per Threat Scenario</t>
  </si>
  <si>
    <t>Safety</t>
  </si>
  <si>
    <t>M</t>
  </si>
  <si>
    <t>L</t>
  </si>
  <si>
    <t>Foundational Requirement</t>
  </si>
  <si>
    <t>FR 5</t>
  </si>
  <si>
    <t>SL-T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</si>
</sst>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0"/>
      <color theme="1"/>
      <name val="Arial"/>
      <family val="2"/>
    </font>
    <font>
      <b/>
      <sz val="10"/>
      <color theme="1"/>
      <name val="Arial"/>
      <family val="2"/>
    </font>
    <font>
      <sz val="10"/>
      <name val="Arial"/>
      <family val="2"/>
    </font>
    <font>
      <b/>
      <sz val="10"/>
      <name val="Arial"/>
      <family val="2"/>
    </font>
    <font>
      <sz val="10"/>
      <color rgb="FF000000"/>
      <name val="Arial"/>
      <family val="2"/>
    </font>
    <font>
      <b/>
      <sz val="10"/>
      <color rgb="FF000000"/>
      <name val="Arial"/>
      <family val="2"/>
    </font>
    <font>
      <sz val="10"/>
      <color rgb="FFFF0000"/>
      <name val="Arial"/>
      <family val="2"/>
    </font>
  </fonts>
  <fills count="7">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00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23"/>
      </right>
      <top style="thin">
        <color indexed="64"/>
      </top>
      <bottom/>
      <diagonal/>
    </border>
    <border>
      <left style="thin">
        <color indexed="23"/>
      </left>
      <right style="thin">
        <color indexed="23"/>
      </right>
      <top style="thin">
        <color indexed="64"/>
      </top>
      <bottom/>
      <diagonal/>
    </border>
    <border>
      <left style="thin">
        <color indexed="23"/>
      </left>
      <right/>
      <top style="thin">
        <color indexed="64"/>
      </top>
      <bottom/>
      <diagonal/>
    </border>
    <border>
      <left style="thin">
        <color indexed="64"/>
      </left>
      <right style="thin">
        <color indexed="23"/>
      </right>
      <top/>
      <bottom/>
      <diagonal/>
    </border>
    <border>
      <left style="thin">
        <color indexed="23"/>
      </left>
      <right style="thin">
        <color indexed="23"/>
      </right>
      <top/>
      <bottom/>
      <diagonal/>
    </border>
    <border>
      <left style="thin">
        <color indexed="23"/>
      </left>
      <right/>
      <top/>
      <bottom/>
      <diagonal/>
    </border>
  </borders>
  <cellStyleXfs count="1">
    <xf numFmtId="0" fontId="0" fillId="0" borderId="0"/>
  </cellStyleXfs>
  <cellXfs count="113">
    <xf numFmtId="0" fontId="0" fillId="0" borderId="0" xfId="0"/>
    <xf numFmtId="0" fontId="1" fillId="2" borderId="1" xfId="0" applyFont="1" applyFill="1" applyBorder="1"/>
    <xf numFmtId="0" fontId="1" fillId="2" borderId="1" xfId="0" applyFont="1" applyFill="1" applyBorder="1" applyAlignment="1">
      <alignment wrapText="1"/>
    </xf>
    <xf numFmtId="0" fontId="0" fillId="0" borderId="1" xfId="0" applyBorder="1"/>
    <xf numFmtId="0" fontId="1" fillId="0" borderId="0" xfId="0" applyFont="1"/>
    <xf numFmtId="0" fontId="0" fillId="2" borderId="0" xfId="0" applyFill="1" applyAlignment="1">
      <alignment wrapText="1"/>
    </xf>
    <xf numFmtId="0" fontId="0" fillId="2" borderId="0" xfId="0" applyFill="1"/>
    <xf numFmtId="0" fontId="0" fillId="0" borderId="1" xfId="0" applyBorder="1" applyAlignment="1">
      <alignment wrapText="1"/>
    </xf>
    <xf numFmtId="0" fontId="2" fillId="0" borderId="1" xfId="0" applyFont="1" applyBorder="1" applyAlignment="1">
      <alignment wrapText="1"/>
    </xf>
    <xf numFmtId="0" fontId="0" fillId="0" borderId="0" xfId="0" applyAlignment="1">
      <alignment textRotation="90" wrapText="1"/>
    </xf>
    <xf numFmtId="0" fontId="0" fillId="0" borderId="0" xfId="0" applyAlignment="1">
      <alignment textRotation="90"/>
    </xf>
    <xf numFmtId="0" fontId="1" fillId="0" borderId="8" xfId="0" applyFont="1" applyBorder="1"/>
    <xf numFmtId="0" fontId="1" fillId="0" borderId="9" xfId="0" applyFont="1" applyBorder="1"/>
    <xf numFmtId="0" fontId="1" fillId="0" borderId="10" xfId="0" applyFont="1"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0" xfId="0" applyBorder="1"/>
    <xf numFmtId="0" fontId="0" fillId="0" borderId="18" xfId="0" applyBorder="1"/>
    <xf numFmtId="0" fontId="0" fillId="0" borderId="2" xfId="0" applyBorder="1"/>
    <xf numFmtId="0" fontId="0" fillId="0" borderId="19" xfId="0" applyBorder="1"/>
    <xf numFmtId="0" fontId="0" fillId="0" borderId="20" xfId="0" applyBorder="1"/>
    <xf numFmtId="0" fontId="1" fillId="0" borderId="3" xfId="0" applyFont="1" applyBorder="1"/>
    <xf numFmtId="0" fontId="1" fillId="0" borderId="21" xfId="0" applyFont="1" applyBorder="1"/>
    <xf numFmtId="0" fontId="1" fillId="0" borderId="22" xfId="0" applyFont="1" applyBorder="1"/>
    <xf numFmtId="0" fontId="0" fillId="0" borderId="23" xfId="0" applyBorder="1"/>
    <xf numFmtId="0" fontId="0" fillId="0" borderId="8" xfId="0" applyBorder="1" applyAlignment="1">
      <alignment horizontal="left" vertical="top"/>
    </xf>
    <xf numFmtId="0" fontId="0" fillId="0" borderId="9" xfId="0" applyBorder="1" applyAlignment="1">
      <alignment horizontal="left" vertical="top"/>
    </xf>
    <xf numFmtId="0" fontId="0" fillId="0" borderId="9" xfId="0" applyBorder="1" applyAlignment="1">
      <alignment horizontal="left" vertical="top" wrapText="1"/>
    </xf>
    <xf numFmtId="0" fontId="0" fillId="0" borderId="10" xfId="0" quotePrefix="1" applyBorder="1" applyAlignment="1">
      <alignment horizontal="left" vertical="top" wrapText="1"/>
    </xf>
    <xf numFmtId="0" fontId="0" fillId="0" borderId="16" xfId="0"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17" xfId="0" quotePrefix="1"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4" xfId="0" applyBorder="1" applyAlignment="1">
      <alignment horizontal="left" vertical="top" wrapText="1"/>
    </xf>
    <xf numFmtId="0" fontId="0" fillId="0" borderId="15" xfId="0" quotePrefix="1" applyBorder="1" applyAlignment="1">
      <alignment horizontal="left" vertical="top" wrapText="1"/>
    </xf>
    <xf numFmtId="0" fontId="0" fillId="0" borderId="0" xfId="0" applyAlignment="1">
      <alignment wrapText="1"/>
    </xf>
    <xf numFmtId="0" fontId="0" fillId="0" borderId="0" xfId="0" quotePrefix="1" applyAlignment="1">
      <alignment wrapText="1"/>
    </xf>
    <xf numFmtId="0" fontId="0" fillId="0" borderId="8" xfId="0" applyBorder="1"/>
    <xf numFmtId="0" fontId="0" fillId="0" borderId="9" xfId="0" applyBorder="1"/>
    <xf numFmtId="0" fontId="0" fillId="0" borderId="9" xfId="0" applyBorder="1" applyAlignment="1">
      <alignment wrapText="1"/>
    </xf>
    <xf numFmtId="0" fontId="4" fillId="0" borderId="9" xfId="0" applyFont="1" applyBorder="1" applyAlignment="1">
      <alignment wrapText="1"/>
    </xf>
    <xf numFmtId="0" fontId="4" fillId="0" borderId="10" xfId="0" applyFont="1" applyBorder="1" applyAlignment="1">
      <alignment wrapText="1"/>
    </xf>
    <xf numFmtId="0" fontId="4" fillId="0" borderId="1" xfId="0" applyFont="1" applyBorder="1" applyAlignment="1">
      <alignment wrapText="1"/>
    </xf>
    <xf numFmtId="0" fontId="4" fillId="0" borderId="1" xfId="0" applyFont="1" applyBorder="1" applyAlignment="1">
      <alignment vertical="center" wrapText="1"/>
    </xf>
    <xf numFmtId="0" fontId="4" fillId="0" borderId="17" xfId="0" applyFont="1" applyBorder="1" applyAlignment="1">
      <alignment vertical="center" wrapText="1"/>
    </xf>
    <xf numFmtId="0" fontId="4" fillId="0" borderId="14" xfId="0" applyFont="1" applyBorder="1" applyAlignment="1">
      <alignment wrapText="1"/>
    </xf>
    <xf numFmtId="0" fontId="0" fillId="0" borderId="14" xfId="0" applyBorder="1" applyAlignment="1">
      <alignment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0" fillId="5" borderId="1" xfId="0" applyFill="1" applyBorder="1" applyAlignment="1">
      <alignment wrapText="1"/>
    </xf>
    <xf numFmtId="0" fontId="5" fillId="0" borderId="0" xfId="0" applyFont="1"/>
    <xf numFmtId="0" fontId="4" fillId="0" borderId="0" xfId="0" applyFont="1"/>
    <xf numFmtId="0" fontId="4" fillId="0" borderId="24" xfId="0" applyFont="1" applyBorder="1" applyAlignment="1">
      <alignment horizontal="left" vertical="top" wrapText="1"/>
    </xf>
    <xf numFmtId="0" fontId="4" fillId="0" borderId="10" xfId="0" applyFont="1" applyBorder="1" applyAlignment="1">
      <alignment horizontal="justify" vertical="center" wrapText="1"/>
    </xf>
    <xf numFmtId="0" fontId="4" fillId="0" borderId="25" xfId="0" applyFont="1" applyBorder="1" applyAlignment="1">
      <alignment horizontal="left" vertical="top" wrapText="1"/>
    </xf>
    <xf numFmtId="0" fontId="4" fillId="0" borderId="17" xfId="0" applyFont="1" applyBorder="1" applyAlignment="1">
      <alignment horizontal="justify" vertical="center" wrapText="1"/>
    </xf>
    <xf numFmtId="0" fontId="4" fillId="0" borderId="15" xfId="0" applyFont="1" applyBorder="1" applyAlignment="1">
      <alignment horizontal="justify" vertical="center" wrapText="1"/>
    </xf>
    <xf numFmtId="0" fontId="1" fillId="2" borderId="18" xfId="0" applyFont="1" applyFill="1" applyBorder="1" applyAlignment="1">
      <alignment wrapText="1"/>
    </xf>
    <xf numFmtId="0" fontId="1" fillId="2" borderId="2" xfId="0" applyFont="1" applyFill="1" applyBorder="1"/>
    <xf numFmtId="0" fontId="1" fillId="2" borderId="2" xfId="0" applyFont="1" applyFill="1" applyBorder="1" applyAlignment="1">
      <alignment wrapText="1"/>
    </xf>
    <xf numFmtId="0" fontId="1" fillId="2" borderId="28" xfId="0" applyFont="1" applyFill="1" applyBorder="1" applyAlignment="1">
      <alignment wrapText="1"/>
    </xf>
    <xf numFmtId="0" fontId="0" fillId="0" borderId="2" xfId="0" applyBorder="1" applyAlignment="1">
      <alignment textRotation="90"/>
    </xf>
    <xf numFmtId="0" fontId="0" fillId="0" borderId="28" xfId="0" applyBorder="1" applyAlignment="1">
      <alignment textRotation="90"/>
    </xf>
    <xf numFmtId="0" fontId="0" fillId="0" borderId="1" xfId="0" applyBorder="1" applyAlignment="1">
      <alignment textRotation="90"/>
    </xf>
    <xf numFmtId="0" fontId="0" fillId="0" borderId="29" xfId="0" applyBorder="1"/>
    <xf numFmtId="0" fontId="0" fillId="0" borderId="32"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0" fontId="0" fillId="0" borderId="39" xfId="0" applyBorder="1"/>
    <xf numFmtId="0" fontId="1" fillId="0" borderId="13" xfId="0" applyFont="1" applyBorder="1"/>
    <xf numFmtId="0" fontId="0" fillId="0" borderId="33" xfId="0" applyBorder="1"/>
    <xf numFmtId="0" fontId="0" fillId="0" borderId="31" xfId="0" applyBorder="1"/>
    <xf numFmtId="0" fontId="0" fillId="3" borderId="1" xfId="0" applyFill="1" applyBorder="1"/>
    <xf numFmtId="0" fontId="0" fillId="4" borderId="1" xfId="0" applyFill="1" applyBorder="1"/>
    <xf numFmtId="0" fontId="0" fillId="5" borderId="1" xfId="0" applyFill="1" applyBorder="1"/>
    <xf numFmtId="0" fontId="0" fillId="4" borderId="1" xfId="0" applyFill="1" applyBorder="1" applyAlignment="1">
      <alignment wrapText="1"/>
    </xf>
    <xf numFmtId="0" fontId="2" fillId="5" borderId="1" xfId="0" applyFont="1" applyFill="1" applyBorder="1"/>
    <xf numFmtId="0" fontId="1" fillId="6" borderId="1" xfId="0" applyFont="1" applyFill="1" applyBorder="1" applyAlignment="1">
      <alignment wrapText="1"/>
    </xf>
    <xf numFmtId="0" fontId="0" fillId="6" borderId="1" xfId="0" applyFill="1" applyBorder="1"/>
    <xf numFmtId="0" fontId="0" fillId="6" borderId="1" xfId="0" applyFill="1" applyBorder="1" applyAlignment="1">
      <alignment wrapText="1"/>
    </xf>
    <xf numFmtId="0" fontId="0" fillId="6" borderId="0" xfId="0" applyFill="1"/>
    <xf numFmtId="0" fontId="2" fillId="6" borderId="1" xfId="0" applyFont="1" applyFill="1" applyBorder="1" applyAlignment="1">
      <alignment wrapText="1"/>
    </xf>
    <xf numFmtId="0" fontId="0" fillId="6" borderId="1" xfId="0" applyFill="1" applyBorder="1" applyAlignment="1">
      <alignment horizontal="left" wrapText="1"/>
    </xf>
    <xf numFmtId="0" fontId="1" fillId="2" borderId="0" xfId="0" applyFont="1" applyFill="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vertical="center" textRotation="90"/>
    </xf>
    <xf numFmtId="0" fontId="1" fillId="0" borderId="16" xfId="0" applyFont="1" applyBorder="1" applyAlignment="1">
      <alignment horizontal="center" vertical="center" textRotation="90"/>
    </xf>
    <xf numFmtId="0" fontId="1" fillId="0" borderId="13" xfId="0" applyFont="1" applyBorder="1" applyAlignment="1">
      <alignment horizontal="center" vertical="center" textRotation="90"/>
    </xf>
    <xf numFmtId="0" fontId="4" fillId="0" borderId="26" xfId="0" applyFont="1" applyBorder="1" applyAlignment="1">
      <alignment horizontal="justify" vertical="top" wrapText="1"/>
    </xf>
    <xf numFmtId="0" fontId="4" fillId="0" borderId="25" xfId="0" applyFont="1" applyBorder="1" applyAlignment="1">
      <alignment horizontal="justify" vertical="top" wrapText="1"/>
    </xf>
    <xf numFmtId="0" fontId="4" fillId="0" borderId="27" xfId="0" applyFont="1" applyBorder="1" applyAlignment="1">
      <alignment horizontal="justify" vertical="top" wrapText="1"/>
    </xf>
    <xf numFmtId="0" fontId="1" fillId="0" borderId="18" xfId="0" applyFont="1" applyBorder="1" applyAlignment="1"/>
    <xf numFmtId="0" fontId="1" fillId="0" borderId="2" xfId="0" applyFont="1" applyBorder="1" applyAlignment="1"/>
    <xf numFmtId="0" fontId="0" fillId="0" borderId="20" xfId="0" applyBorder="1" applyAlignment="1"/>
    <xf numFmtId="0" fontId="0" fillId="0" borderId="1" xfId="0" applyBorder="1" applyAlignment="1"/>
    <xf numFmtId="0" fontId="0" fillId="0" borderId="30" xfId="0" applyBorder="1" applyAlignment="1"/>
    <xf numFmtId="0" fontId="0" fillId="0" borderId="31" xfId="0" applyBorder="1" applyAlignment="1"/>
    <xf numFmtId="0" fontId="0" fillId="0" borderId="33" xfId="0" applyBorder="1" applyAlignment="1"/>
    <xf numFmtId="0" fontId="0" fillId="0" borderId="0" xfId="0" applyAlignment="1"/>
  </cellXfs>
  <cellStyles count="1">
    <cellStyle name="Normal" xfId="0" builtinId="0"/>
  </cellStyles>
  <dxfs count="9">
    <dxf>
      <fill>
        <patternFill>
          <bgColor rgb="FFFFFFB2"/>
        </patternFill>
      </fill>
    </dxf>
    <dxf>
      <fill>
        <patternFill>
          <bgColor rgb="FFFECC5C"/>
        </patternFill>
      </fill>
    </dxf>
    <dxf>
      <fill>
        <patternFill>
          <bgColor rgb="FFFD8D3C"/>
        </patternFill>
      </fill>
    </dxf>
    <dxf>
      <fill>
        <patternFill>
          <bgColor rgb="FFE31A1C"/>
        </patternFill>
      </fill>
    </dxf>
    <dxf>
      <fill>
        <patternFill>
          <bgColor rgb="FFFFFFFF"/>
        </patternFill>
      </fill>
    </dxf>
    <dxf>
      <fill>
        <patternFill>
          <bgColor rgb="FFFFFFB2"/>
        </patternFill>
      </fill>
    </dxf>
    <dxf>
      <fill>
        <patternFill>
          <bgColor rgb="FFFECC5C"/>
        </patternFill>
      </fill>
    </dxf>
    <dxf>
      <fill>
        <patternFill>
          <bgColor rgb="FFFD8D3C"/>
        </patternFill>
      </fill>
    </dxf>
    <dxf>
      <font>
        <strike val="0"/>
        <color auto="1"/>
      </font>
      <fill>
        <patternFill>
          <bgColor rgb="FFE31A1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P45"/>
  <sheetViews>
    <sheetView tabSelected="1" topLeftCell="E1" zoomScale="80" zoomScaleNormal="80" workbookViewId="0">
      <pane ySplit="1" topLeftCell="A2" activePane="bottomLeft" state="frozen"/>
      <selection pane="bottomLeft" activeCell="F6" sqref="F6"/>
      <selection activeCell="B1" sqref="B1"/>
    </sheetView>
  </sheetViews>
  <sheetFormatPr defaultColWidth="10.85546875" defaultRowHeight="12.6"/>
  <cols>
    <col min="1" max="1" width="24.42578125" bestFit="1" customWidth="1"/>
    <col min="2" max="2" width="42.42578125" bestFit="1" customWidth="1"/>
    <col min="3" max="3" width="9.42578125" customWidth="1"/>
    <col min="4" max="4" width="43.5703125" customWidth="1"/>
    <col min="5" max="5" width="13.85546875" style="88" bestFit="1" customWidth="1"/>
    <col min="6" max="6" width="13" style="88" customWidth="1"/>
    <col min="7" max="8" width="25.5703125" style="88" customWidth="1"/>
    <col min="9" max="9" width="21.5703125" style="88" customWidth="1"/>
    <col min="10" max="11" width="18.5703125" style="88" customWidth="1"/>
    <col min="12" max="12" width="42.85546875" style="88" customWidth="1"/>
    <col min="13" max="13" width="12.28515625" customWidth="1"/>
    <col min="14" max="14" width="14.28515625" customWidth="1"/>
    <col min="15" max="15" width="9.85546875" customWidth="1"/>
    <col min="16" max="16" width="14.140625" customWidth="1"/>
  </cols>
  <sheetData>
    <row r="1" spans="1:16" ht="39">
      <c r="A1" s="1" t="s">
        <v>0</v>
      </c>
      <c r="B1" s="1" t="s">
        <v>1</v>
      </c>
      <c r="C1" s="2" t="s">
        <v>2</v>
      </c>
      <c r="D1" s="2" t="s">
        <v>3</v>
      </c>
      <c r="E1" s="85" t="s">
        <v>4</v>
      </c>
      <c r="F1" s="85" t="s">
        <v>5</v>
      </c>
      <c r="G1" s="85" t="s">
        <v>6</v>
      </c>
      <c r="H1" s="85" t="s">
        <v>7</v>
      </c>
      <c r="I1" s="85" t="s">
        <v>8</v>
      </c>
      <c r="J1" s="85" t="s">
        <v>9</v>
      </c>
      <c r="K1" s="85" t="s">
        <v>10</v>
      </c>
      <c r="L1" s="85" t="s">
        <v>11</v>
      </c>
      <c r="M1" s="2" t="s">
        <v>12</v>
      </c>
      <c r="N1" s="2" t="s">
        <v>13</v>
      </c>
      <c r="O1" s="2" t="s">
        <v>14</v>
      </c>
      <c r="P1" s="1" t="s">
        <v>15</v>
      </c>
    </row>
    <row r="2" spans="1:16">
      <c r="A2" s="80" t="s">
        <v>16</v>
      </c>
      <c r="B2" s="80" t="s">
        <v>17</v>
      </c>
      <c r="C2" s="80" t="s">
        <v>18</v>
      </c>
      <c r="D2" s="83" t="s">
        <v>19</v>
      </c>
      <c r="E2" s="86" t="s">
        <v>20</v>
      </c>
      <c r="F2" s="86" t="s">
        <v>21</v>
      </c>
      <c r="G2" s="86" t="s">
        <v>21</v>
      </c>
      <c r="H2" s="86" t="s">
        <v>21</v>
      </c>
      <c r="I2" s="86" t="s">
        <v>21</v>
      </c>
      <c r="J2" s="86" t="s">
        <v>21</v>
      </c>
      <c r="K2" s="86" t="s">
        <v>21</v>
      </c>
      <c r="L2" s="86" t="s">
        <v>21</v>
      </c>
      <c r="M2" s="81" t="s">
        <v>22</v>
      </c>
      <c r="N2" s="81" t="s">
        <v>22</v>
      </c>
      <c r="O2" s="81" t="s">
        <v>21</v>
      </c>
      <c r="P2" s="81" t="s">
        <v>21</v>
      </c>
    </row>
    <row r="3" spans="1:16">
      <c r="A3" s="80" t="s">
        <v>16</v>
      </c>
      <c r="B3" s="80" t="s">
        <v>23</v>
      </c>
      <c r="C3" s="80" t="s">
        <v>18</v>
      </c>
      <c r="D3" s="83" t="s">
        <v>24</v>
      </c>
      <c r="E3" s="86" t="s">
        <v>20</v>
      </c>
      <c r="F3" s="86" t="s">
        <v>21</v>
      </c>
      <c r="G3" s="86" t="s">
        <v>21</v>
      </c>
      <c r="H3" s="86" t="s">
        <v>21</v>
      </c>
      <c r="I3" s="86" t="s">
        <v>21</v>
      </c>
      <c r="J3" s="86" t="s">
        <v>21</v>
      </c>
      <c r="K3" s="86" t="s">
        <v>21</v>
      </c>
      <c r="L3" s="86" t="s">
        <v>21</v>
      </c>
      <c r="M3" s="81" t="s">
        <v>22</v>
      </c>
      <c r="N3" s="81" t="s">
        <v>22</v>
      </c>
      <c r="O3" s="81" t="s">
        <v>21</v>
      </c>
      <c r="P3" s="81" t="s">
        <v>21</v>
      </c>
    </row>
    <row r="4" spans="1:16">
      <c r="A4" s="80" t="s">
        <v>16</v>
      </c>
      <c r="B4" s="80" t="s">
        <v>25</v>
      </c>
      <c r="C4" s="80" t="s">
        <v>18</v>
      </c>
      <c r="D4" s="83" t="s">
        <v>24</v>
      </c>
      <c r="E4" s="86" t="s">
        <v>20</v>
      </c>
      <c r="F4" s="86" t="s">
        <v>21</v>
      </c>
      <c r="G4" s="86" t="s">
        <v>21</v>
      </c>
      <c r="H4" s="86" t="s">
        <v>21</v>
      </c>
      <c r="I4" s="86" t="s">
        <v>21</v>
      </c>
      <c r="J4" s="86" t="s">
        <v>21</v>
      </c>
      <c r="K4" s="86" t="s">
        <v>21</v>
      </c>
      <c r="L4" s="86" t="s">
        <v>21</v>
      </c>
      <c r="M4" s="81" t="s">
        <v>22</v>
      </c>
      <c r="N4" s="81" t="s">
        <v>22</v>
      </c>
      <c r="O4" s="81" t="s">
        <v>21</v>
      </c>
      <c r="P4" s="81" t="s">
        <v>21</v>
      </c>
    </row>
    <row r="5" spans="1:16">
      <c r="A5" s="80" t="s">
        <v>16</v>
      </c>
      <c r="B5" s="80" t="s">
        <v>26</v>
      </c>
      <c r="C5" s="80" t="s">
        <v>18</v>
      </c>
      <c r="D5" s="83" t="s">
        <v>27</v>
      </c>
      <c r="E5" s="86" t="s">
        <v>20</v>
      </c>
      <c r="F5" s="86" t="s">
        <v>21</v>
      </c>
      <c r="G5" s="86" t="s">
        <v>21</v>
      </c>
      <c r="H5" s="86" t="s">
        <v>21</v>
      </c>
      <c r="I5" s="86" t="s">
        <v>21</v>
      </c>
      <c r="J5" s="86" t="s">
        <v>21</v>
      </c>
      <c r="K5" s="86" t="s">
        <v>21</v>
      </c>
      <c r="L5" s="86" t="s">
        <v>21</v>
      </c>
      <c r="M5" s="81" t="s">
        <v>22</v>
      </c>
      <c r="N5" s="81" t="s">
        <v>22</v>
      </c>
      <c r="O5" s="81" t="s">
        <v>21</v>
      </c>
      <c r="P5" s="81" t="s">
        <v>21</v>
      </c>
    </row>
    <row r="6" spans="1:16" ht="62.45">
      <c r="A6" s="80" t="s">
        <v>16</v>
      </c>
      <c r="B6" s="80" t="s">
        <v>28</v>
      </c>
      <c r="C6" s="80" t="s">
        <v>18</v>
      </c>
      <c r="D6" s="54" t="s">
        <v>29</v>
      </c>
      <c r="E6" s="87" t="s">
        <v>30</v>
      </c>
      <c r="F6" s="87" t="s">
        <v>31</v>
      </c>
      <c r="G6" s="87" t="s">
        <v>32</v>
      </c>
      <c r="H6" s="87" t="s">
        <v>21</v>
      </c>
      <c r="I6" s="87" t="s">
        <v>33</v>
      </c>
      <c r="J6" s="87" t="s">
        <v>34</v>
      </c>
      <c r="K6" s="87" t="s">
        <v>35</v>
      </c>
      <c r="L6" s="87" t="s">
        <v>36</v>
      </c>
      <c r="M6" s="82">
        <v>2</v>
      </c>
      <c r="N6" s="82">
        <v>2</v>
      </c>
      <c r="O6" s="82">
        <f>M6+N6-1</f>
        <v>3</v>
      </c>
      <c r="P6" s="81" t="s">
        <v>37</v>
      </c>
    </row>
    <row r="7" spans="1:16" ht="50.1">
      <c r="A7" s="80" t="s">
        <v>16</v>
      </c>
      <c r="B7" s="80" t="s">
        <v>28</v>
      </c>
      <c r="C7" s="80" t="s">
        <v>18</v>
      </c>
      <c r="D7" s="54" t="s">
        <v>29</v>
      </c>
      <c r="E7" s="87" t="s">
        <v>30</v>
      </c>
      <c r="F7" s="87" t="s">
        <v>31</v>
      </c>
      <c r="G7" s="87" t="s">
        <v>38</v>
      </c>
      <c r="H7" s="87" t="s">
        <v>21</v>
      </c>
      <c r="I7" s="87" t="s">
        <v>39</v>
      </c>
      <c r="J7" s="87" t="s">
        <v>34</v>
      </c>
      <c r="K7" s="87" t="s">
        <v>35</v>
      </c>
      <c r="L7" s="87" t="s">
        <v>40</v>
      </c>
      <c r="M7" s="82">
        <v>2</v>
      </c>
      <c r="N7" s="82">
        <v>1</v>
      </c>
      <c r="O7" s="82">
        <f t="shared" ref="O6:O42" si="0">M7+N7-1</f>
        <v>2</v>
      </c>
      <c r="P7" s="81" t="s">
        <v>37</v>
      </c>
    </row>
    <row r="8" spans="1:16">
      <c r="A8" s="80" t="s">
        <v>16</v>
      </c>
      <c r="B8" s="80" t="s">
        <v>41</v>
      </c>
      <c r="C8" s="80" t="s">
        <v>18</v>
      </c>
      <c r="D8" s="54" t="s">
        <v>42</v>
      </c>
      <c r="E8" s="87" t="s">
        <v>20</v>
      </c>
      <c r="F8" s="87" t="s">
        <v>21</v>
      </c>
      <c r="G8" s="87" t="s">
        <v>21</v>
      </c>
      <c r="H8" s="87" t="s">
        <v>21</v>
      </c>
      <c r="I8" s="87" t="s">
        <v>21</v>
      </c>
      <c r="J8" s="87" t="s">
        <v>21</v>
      </c>
      <c r="K8" s="87" t="s">
        <v>21</v>
      </c>
      <c r="L8" s="87" t="s">
        <v>21</v>
      </c>
      <c r="M8" s="82" t="s">
        <v>22</v>
      </c>
      <c r="N8" s="82" t="s">
        <v>22</v>
      </c>
      <c r="O8" s="82" t="s">
        <v>21</v>
      </c>
      <c r="P8" s="81" t="s">
        <v>37</v>
      </c>
    </row>
    <row r="9" spans="1:16">
      <c r="A9" s="80" t="s">
        <v>43</v>
      </c>
      <c r="B9" s="80" t="s">
        <v>44</v>
      </c>
      <c r="C9" s="80" t="s">
        <v>45</v>
      </c>
      <c r="D9" s="83" t="s">
        <v>42</v>
      </c>
      <c r="E9" s="86" t="s">
        <v>20</v>
      </c>
      <c r="F9" s="86" t="s">
        <v>21</v>
      </c>
      <c r="G9" s="86" t="s">
        <v>21</v>
      </c>
      <c r="H9" s="86" t="s">
        <v>21</v>
      </c>
      <c r="I9" s="86" t="s">
        <v>21</v>
      </c>
      <c r="J9" s="86" t="s">
        <v>21</v>
      </c>
      <c r="K9" s="86" t="s">
        <v>21</v>
      </c>
      <c r="L9" s="86" t="s">
        <v>21</v>
      </c>
      <c r="M9" s="81" t="s">
        <v>22</v>
      </c>
      <c r="N9" s="81" t="s">
        <v>22</v>
      </c>
      <c r="O9" s="81" t="s">
        <v>21</v>
      </c>
      <c r="P9" s="81" t="s">
        <v>21</v>
      </c>
    </row>
    <row r="10" spans="1:16">
      <c r="A10" s="80" t="s">
        <v>43</v>
      </c>
      <c r="B10" s="80" t="s">
        <v>46</v>
      </c>
      <c r="C10" s="80" t="s">
        <v>45</v>
      </c>
      <c r="D10" s="83" t="s">
        <v>42</v>
      </c>
      <c r="E10" s="86" t="s">
        <v>20</v>
      </c>
      <c r="F10" s="86" t="s">
        <v>21</v>
      </c>
      <c r="G10" s="86" t="s">
        <v>21</v>
      </c>
      <c r="H10" s="86" t="s">
        <v>21</v>
      </c>
      <c r="I10" s="86" t="s">
        <v>21</v>
      </c>
      <c r="J10" s="86" t="s">
        <v>21</v>
      </c>
      <c r="K10" s="86" t="s">
        <v>21</v>
      </c>
      <c r="L10" s="86" t="s">
        <v>21</v>
      </c>
      <c r="M10" s="81" t="s">
        <v>22</v>
      </c>
      <c r="N10" s="81" t="s">
        <v>22</v>
      </c>
      <c r="O10" s="81" t="s">
        <v>21</v>
      </c>
      <c r="P10" s="81" t="s">
        <v>21</v>
      </c>
    </row>
    <row r="11" spans="1:16">
      <c r="A11" s="80" t="s">
        <v>43</v>
      </c>
      <c r="B11" s="80" t="s">
        <v>47</v>
      </c>
      <c r="C11" s="80" t="s">
        <v>45</v>
      </c>
      <c r="D11" s="83" t="s">
        <v>42</v>
      </c>
      <c r="E11" s="86" t="s">
        <v>20</v>
      </c>
      <c r="F11" s="86" t="s">
        <v>21</v>
      </c>
      <c r="G11" s="86" t="s">
        <v>21</v>
      </c>
      <c r="H11" s="86" t="s">
        <v>21</v>
      </c>
      <c r="I11" s="86" t="s">
        <v>21</v>
      </c>
      <c r="J11" s="86" t="s">
        <v>21</v>
      </c>
      <c r="K11" s="86" t="s">
        <v>21</v>
      </c>
      <c r="L11" s="86" t="s">
        <v>21</v>
      </c>
      <c r="M11" s="81" t="s">
        <v>22</v>
      </c>
      <c r="N11" s="81" t="s">
        <v>22</v>
      </c>
      <c r="O11" s="81" t="s">
        <v>21</v>
      </c>
      <c r="P11" s="81" t="s">
        <v>21</v>
      </c>
    </row>
    <row r="12" spans="1:16">
      <c r="A12" s="80" t="s">
        <v>43</v>
      </c>
      <c r="B12" s="80" t="s">
        <v>48</v>
      </c>
      <c r="C12" s="80" t="s">
        <v>45</v>
      </c>
      <c r="D12" s="83" t="s">
        <v>42</v>
      </c>
      <c r="E12" s="86" t="s">
        <v>20</v>
      </c>
      <c r="F12" s="86" t="s">
        <v>21</v>
      </c>
      <c r="G12" s="86" t="s">
        <v>21</v>
      </c>
      <c r="H12" s="86" t="s">
        <v>21</v>
      </c>
      <c r="I12" s="86" t="s">
        <v>21</v>
      </c>
      <c r="J12" s="86" t="s">
        <v>21</v>
      </c>
      <c r="K12" s="86" t="s">
        <v>21</v>
      </c>
      <c r="L12" s="86" t="s">
        <v>21</v>
      </c>
      <c r="M12" s="81" t="s">
        <v>22</v>
      </c>
      <c r="N12" s="81" t="s">
        <v>22</v>
      </c>
      <c r="O12" s="81" t="s">
        <v>21</v>
      </c>
      <c r="P12" s="81" t="s">
        <v>21</v>
      </c>
    </row>
    <row r="13" spans="1:16">
      <c r="A13" s="80" t="s">
        <v>43</v>
      </c>
      <c r="B13" s="80" t="s">
        <v>49</v>
      </c>
      <c r="C13" s="80" t="s">
        <v>45</v>
      </c>
      <c r="D13" s="83" t="s">
        <v>42</v>
      </c>
      <c r="E13" s="86" t="s">
        <v>20</v>
      </c>
      <c r="F13" s="86" t="s">
        <v>21</v>
      </c>
      <c r="G13" s="86" t="s">
        <v>21</v>
      </c>
      <c r="H13" s="86" t="s">
        <v>21</v>
      </c>
      <c r="I13" s="86" t="s">
        <v>21</v>
      </c>
      <c r="J13" s="86" t="s">
        <v>21</v>
      </c>
      <c r="K13" s="86" t="s">
        <v>21</v>
      </c>
      <c r="L13" s="86" t="s">
        <v>21</v>
      </c>
      <c r="M13" s="81" t="s">
        <v>22</v>
      </c>
      <c r="N13" s="81" t="s">
        <v>22</v>
      </c>
      <c r="O13" s="81" t="s">
        <v>21</v>
      </c>
      <c r="P13" s="81" t="s">
        <v>21</v>
      </c>
    </row>
    <row r="14" spans="1:16">
      <c r="A14" s="80" t="s">
        <v>50</v>
      </c>
      <c r="B14" s="80" t="s">
        <v>51</v>
      </c>
      <c r="C14" s="80" t="s">
        <v>52</v>
      </c>
      <c r="D14" s="83" t="s">
        <v>53</v>
      </c>
      <c r="E14" s="86" t="s">
        <v>20</v>
      </c>
      <c r="F14" s="86" t="s">
        <v>21</v>
      </c>
      <c r="G14" s="86" t="s">
        <v>21</v>
      </c>
      <c r="H14" s="86" t="s">
        <v>21</v>
      </c>
      <c r="I14" s="86" t="s">
        <v>21</v>
      </c>
      <c r="J14" s="86" t="s">
        <v>21</v>
      </c>
      <c r="K14" s="86" t="s">
        <v>21</v>
      </c>
      <c r="L14" s="86" t="s">
        <v>21</v>
      </c>
      <c r="M14" s="81" t="s">
        <v>22</v>
      </c>
      <c r="N14" s="81" t="s">
        <v>22</v>
      </c>
      <c r="O14" s="81" t="s">
        <v>21</v>
      </c>
      <c r="P14" s="81" t="s">
        <v>21</v>
      </c>
    </row>
    <row r="15" spans="1:16" ht="62.45">
      <c r="A15" s="80" t="s">
        <v>50</v>
      </c>
      <c r="B15" s="80" t="s">
        <v>54</v>
      </c>
      <c r="C15" s="80" t="s">
        <v>18</v>
      </c>
      <c r="D15" s="54" t="s">
        <v>55</v>
      </c>
      <c r="E15" s="87" t="s">
        <v>30</v>
      </c>
      <c r="F15" s="87" t="s">
        <v>56</v>
      </c>
      <c r="G15" s="87" t="s">
        <v>57</v>
      </c>
      <c r="H15" s="87" t="s">
        <v>21</v>
      </c>
      <c r="I15" s="87" t="s">
        <v>58</v>
      </c>
      <c r="J15" s="87" t="s">
        <v>34</v>
      </c>
      <c r="K15" s="87" t="s">
        <v>35</v>
      </c>
      <c r="L15" s="87" t="s">
        <v>59</v>
      </c>
      <c r="M15" s="82">
        <v>2</v>
      </c>
      <c r="N15" s="82">
        <v>1</v>
      </c>
      <c r="O15" s="82">
        <f t="shared" si="0"/>
        <v>2</v>
      </c>
      <c r="P15" s="81" t="s">
        <v>37</v>
      </c>
    </row>
    <row r="16" spans="1:16">
      <c r="A16" s="80" t="s">
        <v>50</v>
      </c>
      <c r="B16" s="80" t="s">
        <v>60</v>
      </c>
      <c r="C16" s="80" t="s">
        <v>52</v>
      </c>
      <c r="D16" s="83" t="s">
        <v>61</v>
      </c>
      <c r="E16" s="86" t="s">
        <v>20</v>
      </c>
      <c r="F16" s="86" t="s">
        <v>21</v>
      </c>
      <c r="G16" s="86" t="s">
        <v>21</v>
      </c>
      <c r="H16" s="86" t="s">
        <v>21</v>
      </c>
      <c r="I16" s="86" t="s">
        <v>21</v>
      </c>
      <c r="J16" s="86" t="s">
        <v>21</v>
      </c>
      <c r="K16" s="86" t="s">
        <v>21</v>
      </c>
      <c r="L16" s="86" t="s">
        <v>21</v>
      </c>
      <c r="M16" s="81" t="s">
        <v>22</v>
      </c>
      <c r="N16" s="81" t="s">
        <v>22</v>
      </c>
      <c r="O16" s="81" t="s">
        <v>21</v>
      </c>
      <c r="P16" s="81" t="s">
        <v>21</v>
      </c>
    </row>
    <row r="17" spans="1:16">
      <c r="A17" s="80" t="s">
        <v>62</v>
      </c>
      <c r="B17" s="80" t="s">
        <v>63</v>
      </c>
      <c r="C17" s="80" t="s">
        <v>18</v>
      </c>
      <c r="D17" s="54" t="s">
        <v>64</v>
      </c>
      <c r="E17" s="87" t="s">
        <v>20</v>
      </c>
      <c r="F17" s="87" t="s">
        <v>21</v>
      </c>
      <c r="G17" s="87" t="s">
        <v>21</v>
      </c>
      <c r="H17" s="87" t="s">
        <v>21</v>
      </c>
      <c r="I17" s="87" t="s">
        <v>21</v>
      </c>
      <c r="J17" s="87" t="s">
        <v>21</v>
      </c>
      <c r="K17" s="87" t="s">
        <v>21</v>
      </c>
      <c r="L17" s="87" t="s">
        <v>21</v>
      </c>
      <c r="M17" s="82" t="s">
        <v>22</v>
      </c>
      <c r="N17" s="82" t="s">
        <v>22</v>
      </c>
      <c r="O17" s="82" t="s">
        <v>21</v>
      </c>
      <c r="P17" s="81" t="s">
        <v>37</v>
      </c>
    </row>
    <row r="18" spans="1:16" ht="37.5">
      <c r="A18" s="80" t="s">
        <v>62</v>
      </c>
      <c r="B18" s="80" t="s">
        <v>65</v>
      </c>
      <c r="C18" s="80" t="s">
        <v>18</v>
      </c>
      <c r="D18" s="54" t="s">
        <v>66</v>
      </c>
      <c r="E18" s="87" t="s">
        <v>20</v>
      </c>
      <c r="F18" s="87" t="s">
        <v>21</v>
      </c>
      <c r="G18" s="87" t="s">
        <v>21</v>
      </c>
      <c r="H18" s="87" t="s">
        <v>21</v>
      </c>
      <c r="I18" s="87" t="s">
        <v>21</v>
      </c>
      <c r="J18" s="87" t="s">
        <v>21</v>
      </c>
      <c r="K18" s="87" t="s">
        <v>21</v>
      </c>
      <c r="L18" s="87" t="s">
        <v>21</v>
      </c>
      <c r="M18" s="82" t="s">
        <v>22</v>
      </c>
      <c r="N18" s="82" t="s">
        <v>22</v>
      </c>
      <c r="O18" s="82" t="s">
        <v>21</v>
      </c>
      <c r="P18" s="81" t="s">
        <v>37</v>
      </c>
    </row>
    <row r="19" spans="1:16" ht="50.1">
      <c r="A19" s="80" t="s">
        <v>62</v>
      </c>
      <c r="B19" s="80" t="s">
        <v>67</v>
      </c>
      <c r="C19" s="80" t="s">
        <v>18</v>
      </c>
      <c r="D19" s="54" t="s">
        <v>68</v>
      </c>
      <c r="E19" s="87" t="s">
        <v>30</v>
      </c>
      <c r="F19" s="87" t="s">
        <v>69</v>
      </c>
      <c r="G19" s="87" t="s">
        <v>70</v>
      </c>
      <c r="H19" s="87" t="s">
        <v>21</v>
      </c>
      <c r="I19" s="87" t="s">
        <v>71</v>
      </c>
      <c r="J19" s="87" t="s">
        <v>34</v>
      </c>
      <c r="K19" s="87" t="s">
        <v>21</v>
      </c>
      <c r="L19" s="87" t="s">
        <v>72</v>
      </c>
      <c r="M19" s="84">
        <v>2</v>
      </c>
      <c r="N19" s="82">
        <v>1</v>
      </c>
      <c r="O19" s="82">
        <f t="shared" si="0"/>
        <v>2</v>
      </c>
      <c r="P19" s="81" t="s">
        <v>37</v>
      </c>
    </row>
    <row r="20" spans="1:16">
      <c r="A20" s="80" t="s">
        <v>73</v>
      </c>
      <c r="B20" s="80" t="s">
        <v>74</v>
      </c>
      <c r="C20" s="80" t="s">
        <v>75</v>
      </c>
      <c r="D20" s="54" t="s">
        <v>64</v>
      </c>
      <c r="E20" s="87" t="s">
        <v>20</v>
      </c>
      <c r="F20" s="87" t="s">
        <v>21</v>
      </c>
      <c r="G20" s="87" t="s">
        <v>21</v>
      </c>
      <c r="H20" s="87" t="s">
        <v>21</v>
      </c>
      <c r="I20" s="87" t="s">
        <v>21</v>
      </c>
      <c r="J20" s="87" t="s">
        <v>21</v>
      </c>
      <c r="K20" s="87" t="s">
        <v>21</v>
      </c>
      <c r="L20" s="87" t="s">
        <v>21</v>
      </c>
      <c r="M20" s="82" t="s">
        <v>22</v>
      </c>
      <c r="N20" s="82" t="s">
        <v>22</v>
      </c>
      <c r="O20" s="82" t="s">
        <v>21</v>
      </c>
      <c r="P20" s="81" t="s">
        <v>76</v>
      </c>
    </row>
    <row r="21" spans="1:16">
      <c r="A21" s="80" t="s">
        <v>73</v>
      </c>
      <c r="B21" s="80" t="s">
        <v>77</v>
      </c>
      <c r="C21" s="80" t="s">
        <v>75</v>
      </c>
      <c r="D21" s="54" t="s">
        <v>64</v>
      </c>
      <c r="E21" s="87" t="s">
        <v>20</v>
      </c>
      <c r="F21" s="87" t="s">
        <v>21</v>
      </c>
      <c r="G21" s="87" t="s">
        <v>21</v>
      </c>
      <c r="H21" s="87" t="s">
        <v>21</v>
      </c>
      <c r="I21" s="87" t="s">
        <v>21</v>
      </c>
      <c r="J21" s="87" t="s">
        <v>21</v>
      </c>
      <c r="K21" s="87" t="s">
        <v>21</v>
      </c>
      <c r="L21" s="87" t="s">
        <v>21</v>
      </c>
      <c r="M21" s="82" t="s">
        <v>22</v>
      </c>
      <c r="N21" s="82" t="s">
        <v>22</v>
      </c>
      <c r="O21" s="82" t="s">
        <v>21</v>
      </c>
      <c r="P21" s="81" t="s">
        <v>76</v>
      </c>
    </row>
    <row r="22" spans="1:16" ht="62.45">
      <c r="A22" s="80" t="s">
        <v>73</v>
      </c>
      <c r="B22" s="80" t="s">
        <v>78</v>
      </c>
      <c r="C22" s="80" t="s">
        <v>75</v>
      </c>
      <c r="D22" s="54" t="s">
        <v>79</v>
      </c>
      <c r="E22" s="87" t="s">
        <v>30</v>
      </c>
      <c r="F22" s="87" t="s">
        <v>80</v>
      </c>
      <c r="G22" s="87" t="s">
        <v>81</v>
      </c>
      <c r="H22" s="87" t="s">
        <v>21</v>
      </c>
      <c r="I22" s="87" t="s">
        <v>82</v>
      </c>
      <c r="J22" s="87" t="s">
        <v>34</v>
      </c>
      <c r="K22" s="87" t="s">
        <v>83</v>
      </c>
      <c r="L22" s="87" t="s">
        <v>84</v>
      </c>
      <c r="M22" s="82">
        <v>1</v>
      </c>
      <c r="N22" s="82">
        <v>2</v>
      </c>
      <c r="O22" s="82">
        <f t="shared" si="0"/>
        <v>2</v>
      </c>
      <c r="P22" s="81" t="s">
        <v>76</v>
      </c>
    </row>
    <row r="23" spans="1:16" ht="24.95">
      <c r="A23" s="80" t="s">
        <v>73</v>
      </c>
      <c r="B23" s="80" t="s">
        <v>85</v>
      </c>
      <c r="C23" s="80" t="s">
        <v>75</v>
      </c>
      <c r="D23" s="54" t="s">
        <v>86</v>
      </c>
      <c r="E23" s="87" t="s">
        <v>20</v>
      </c>
      <c r="F23" s="87" t="s">
        <v>21</v>
      </c>
      <c r="G23" s="87" t="s">
        <v>21</v>
      </c>
      <c r="H23" s="87" t="s">
        <v>21</v>
      </c>
      <c r="I23" s="87" t="s">
        <v>21</v>
      </c>
      <c r="J23" s="87" t="s">
        <v>21</v>
      </c>
      <c r="K23" s="87" t="s">
        <v>21</v>
      </c>
      <c r="L23" s="87" t="s">
        <v>21</v>
      </c>
      <c r="M23" s="82" t="s">
        <v>22</v>
      </c>
      <c r="N23" s="82" t="s">
        <v>22</v>
      </c>
      <c r="O23" s="82" t="s">
        <v>21</v>
      </c>
      <c r="P23" s="81" t="s">
        <v>76</v>
      </c>
    </row>
    <row r="24" spans="1:16" ht="62.45">
      <c r="A24" s="80" t="s">
        <v>73</v>
      </c>
      <c r="B24" s="80" t="s">
        <v>87</v>
      </c>
      <c r="C24" s="80" t="s">
        <v>75</v>
      </c>
      <c r="D24" s="54" t="s">
        <v>88</v>
      </c>
      <c r="E24" s="87" t="s">
        <v>30</v>
      </c>
      <c r="F24" s="87" t="s">
        <v>89</v>
      </c>
      <c r="G24" s="87" t="s">
        <v>90</v>
      </c>
      <c r="H24" s="87" t="s">
        <v>21</v>
      </c>
      <c r="I24" s="87" t="s">
        <v>91</v>
      </c>
      <c r="J24" s="87" t="s">
        <v>34</v>
      </c>
      <c r="K24" s="87" t="s">
        <v>35</v>
      </c>
      <c r="L24" s="87" t="s">
        <v>92</v>
      </c>
      <c r="M24" s="82">
        <v>1</v>
      </c>
      <c r="N24" s="82">
        <v>1</v>
      </c>
      <c r="O24" s="82">
        <f t="shared" si="0"/>
        <v>1</v>
      </c>
      <c r="P24" s="81" t="s">
        <v>93</v>
      </c>
    </row>
    <row r="25" spans="1:16" ht="24.95">
      <c r="A25" s="80" t="s">
        <v>73</v>
      </c>
      <c r="B25" s="80" t="s">
        <v>94</v>
      </c>
      <c r="C25" s="80" t="s">
        <v>75</v>
      </c>
      <c r="D25" s="54" t="s">
        <v>95</v>
      </c>
      <c r="E25" s="87" t="s">
        <v>20</v>
      </c>
      <c r="F25" s="87" t="s">
        <v>21</v>
      </c>
      <c r="G25" s="87" t="s">
        <v>21</v>
      </c>
      <c r="H25" s="87" t="s">
        <v>21</v>
      </c>
      <c r="I25" s="87" t="s">
        <v>21</v>
      </c>
      <c r="J25" s="87" t="s">
        <v>21</v>
      </c>
      <c r="K25" s="87" t="s">
        <v>21</v>
      </c>
      <c r="L25" s="87" t="s">
        <v>21</v>
      </c>
      <c r="M25" s="82" t="s">
        <v>22</v>
      </c>
      <c r="N25" s="82" t="s">
        <v>22</v>
      </c>
      <c r="O25" s="82" t="s">
        <v>21</v>
      </c>
      <c r="P25" s="81" t="s">
        <v>76</v>
      </c>
    </row>
    <row r="26" spans="1:16" ht="50.1">
      <c r="A26" s="80" t="s">
        <v>73</v>
      </c>
      <c r="B26" s="80" t="s">
        <v>96</v>
      </c>
      <c r="C26" s="80" t="s">
        <v>52</v>
      </c>
      <c r="D26" s="54" t="s">
        <v>97</v>
      </c>
      <c r="E26" s="87" t="s">
        <v>30</v>
      </c>
      <c r="F26" s="87" t="s">
        <v>80</v>
      </c>
      <c r="G26" s="87" t="s">
        <v>98</v>
      </c>
      <c r="H26" s="87" t="s">
        <v>99</v>
      </c>
      <c r="I26" s="87" t="s">
        <v>100</v>
      </c>
      <c r="J26" s="87" t="s">
        <v>34</v>
      </c>
      <c r="K26" s="87" t="s">
        <v>34</v>
      </c>
      <c r="L26" s="87" t="s">
        <v>101</v>
      </c>
      <c r="M26" s="82">
        <v>2</v>
      </c>
      <c r="N26" s="82">
        <v>2</v>
      </c>
      <c r="O26" s="82">
        <f t="shared" si="0"/>
        <v>3</v>
      </c>
      <c r="P26" s="81" t="s">
        <v>76</v>
      </c>
    </row>
    <row r="27" spans="1:16" ht="62.45">
      <c r="A27" s="80" t="s">
        <v>73</v>
      </c>
      <c r="B27" s="80" t="s">
        <v>102</v>
      </c>
      <c r="C27" s="80" t="s">
        <v>52</v>
      </c>
      <c r="D27" s="54" t="s">
        <v>103</v>
      </c>
      <c r="E27" s="87" t="s">
        <v>30</v>
      </c>
      <c r="F27" s="87" t="s">
        <v>104</v>
      </c>
      <c r="G27" s="87" t="s">
        <v>105</v>
      </c>
      <c r="H27" s="87" t="s">
        <v>81</v>
      </c>
      <c r="I27" s="87" t="s">
        <v>106</v>
      </c>
      <c r="J27" s="87" t="s">
        <v>34</v>
      </c>
      <c r="K27" s="87" t="s">
        <v>107</v>
      </c>
      <c r="L27" s="87" t="s">
        <v>108</v>
      </c>
      <c r="M27" s="82">
        <v>1</v>
      </c>
      <c r="N27" s="82">
        <v>2</v>
      </c>
      <c r="O27" s="82">
        <f t="shared" si="0"/>
        <v>2</v>
      </c>
      <c r="P27" s="81" t="s">
        <v>93</v>
      </c>
    </row>
    <row r="28" spans="1:16" ht="62.45">
      <c r="A28" s="80" t="s">
        <v>73</v>
      </c>
      <c r="B28" s="80" t="s">
        <v>109</v>
      </c>
      <c r="C28" s="80" t="s">
        <v>75</v>
      </c>
      <c r="D28" s="54" t="s">
        <v>110</v>
      </c>
      <c r="E28" s="87" t="s">
        <v>30</v>
      </c>
      <c r="F28" s="87" t="s">
        <v>31</v>
      </c>
      <c r="G28" s="87" t="s">
        <v>111</v>
      </c>
      <c r="H28" s="87" t="s">
        <v>112</v>
      </c>
      <c r="I28" s="87" t="s">
        <v>113</v>
      </c>
      <c r="J28" s="87" t="s">
        <v>34</v>
      </c>
      <c r="K28" s="87" t="s">
        <v>35</v>
      </c>
      <c r="L28" s="87" t="s">
        <v>114</v>
      </c>
      <c r="M28" s="82">
        <v>1</v>
      </c>
      <c r="N28" s="82">
        <v>1</v>
      </c>
      <c r="O28" s="82">
        <f t="shared" si="0"/>
        <v>1</v>
      </c>
      <c r="P28" s="81" t="s">
        <v>93</v>
      </c>
    </row>
    <row r="29" spans="1:16" ht="75">
      <c r="A29" s="80" t="s">
        <v>73</v>
      </c>
      <c r="B29" s="80" t="s">
        <v>115</v>
      </c>
      <c r="C29" s="80" t="s">
        <v>52</v>
      </c>
      <c r="D29" s="54" t="s">
        <v>116</v>
      </c>
      <c r="E29" s="87" t="s">
        <v>30</v>
      </c>
      <c r="F29" s="87" t="s">
        <v>31</v>
      </c>
      <c r="G29" s="87" t="s">
        <v>117</v>
      </c>
      <c r="H29" s="87" t="s">
        <v>81</v>
      </c>
      <c r="I29" s="87" t="s">
        <v>118</v>
      </c>
      <c r="J29" s="87" t="s">
        <v>34</v>
      </c>
      <c r="K29" s="87" t="s">
        <v>83</v>
      </c>
      <c r="L29" s="87" t="s">
        <v>119</v>
      </c>
      <c r="M29" s="82">
        <v>1</v>
      </c>
      <c r="N29" s="82">
        <v>2</v>
      </c>
      <c r="O29" s="82">
        <f t="shared" si="0"/>
        <v>2</v>
      </c>
      <c r="P29" s="81" t="s">
        <v>93</v>
      </c>
    </row>
    <row r="30" spans="1:16">
      <c r="A30" s="80" t="s">
        <v>73</v>
      </c>
      <c r="B30" s="80" t="s">
        <v>120</v>
      </c>
      <c r="C30" s="80" t="s">
        <v>75</v>
      </c>
      <c r="D30" s="83" t="s">
        <v>121</v>
      </c>
      <c r="E30" s="86" t="s">
        <v>20</v>
      </c>
      <c r="F30" s="86" t="s">
        <v>21</v>
      </c>
      <c r="G30" s="86" t="s">
        <v>21</v>
      </c>
      <c r="H30" s="86" t="s">
        <v>21</v>
      </c>
      <c r="I30" s="86" t="s">
        <v>21</v>
      </c>
      <c r="J30" s="86" t="s">
        <v>21</v>
      </c>
      <c r="K30" s="86" t="s">
        <v>21</v>
      </c>
      <c r="L30" s="86" t="s">
        <v>21</v>
      </c>
      <c r="M30" s="81" t="s">
        <v>22</v>
      </c>
      <c r="N30" s="81" t="s">
        <v>22</v>
      </c>
      <c r="O30" s="81" t="s">
        <v>21</v>
      </c>
      <c r="P30" s="81" t="s">
        <v>21</v>
      </c>
    </row>
    <row r="31" spans="1:16" ht="37.5">
      <c r="A31" s="80" t="s">
        <v>122</v>
      </c>
      <c r="B31" s="80" t="s">
        <v>123</v>
      </c>
      <c r="C31" s="80" t="s">
        <v>124</v>
      </c>
      <c r="D31" s="54" t="s">
        <v>125</v>
      </c>
      <c r="E31" s="87" t="s">
        <v>20</v>
      </c>
      <c r="F31" s="87" t="s">
        <v>21</v>
      </c>
      <c r="G31" s="87" t="s">
        <v>21</v>
      </c>
      <c r="H31" s="87" t="s">
        <v>21</v>
      </c>
      <c r="I31" s="87" t="s">
        <v>21</v>
      </c>
      <c r="J31" s="87" t="s">
        <v>21</v>
      </c>
      <c r="K31" s="87" t="s">
        <v>21</v>
      </c>
      <c r="L31" s="87" t="s">
        <v>21</v>
      </c>
      <c r="M31" s="82" t="s">
        <v>22</v>
      </c>
      <c r="N31" s="82" t="s">
        <v>22</v>
      </c>
      <c r="O31" s="82" t="s">
        <v>21</v>
      </c>
      <c r="P31" s="81" t="s">
        <v>37</v>
      </c>
    </row>
    <row r="32" spans="1:16" ht="37.5">
      <c r="A32" s="80" t="s">
        <v>122</v>
      </c>
      <c r="B32" s="80" t="s">
        <v>126</v>
      </c>
      <c r="C32" s="80" t="s">
        <v>124</v>
      </c>
      <c r="D32" s="54" t="s">
        <v>125</v>
      </c>
      <c r="E32" s="87" t="s">
        <v>20</v>
      </c>
      <c r="F32" s="87" t="s">
        <v>21</v>
      </c>
      <c r="G32" s="87" t="s">
        <v>21</v>
      </c>
      <c r="H32" s="87" t="s">
        <v>21</v>
      </c>
      <c r="I32" s="87" t="s">
        <v>21</v>
      </c>
      <c r="J32" s="87" t="s">
        <v>21</v>
      </c>
      <c r="K32" s="87" t="s">
        <v>21</v>
      </c>
      <c r="L32" s="87" t="s">
        <v>21</v>
      </c>
      <c r="M32" s="82" t="s">
        <v>22</v>
      </c>
      <c r="N32" s="82" t="s">
        <v>22</v>
      </c>
      <c r="O32" s="82" t="s">
        <v>21</v>
      </c>
      <c r="P32" s="81" t="s">
        <v>37</v>
      </c>
    </row>
    <row r="33" spans="1:16" ht="62.45">
      <c r="A33" s="80" t="s">
        <v>122</v>
      </c>
      <c r="B33" s="80" t="s">
        <v>127</v>
      </c>
      <c r="C33" s="80" t="s">
        <v>52</v>
      </c>
      <c r="D33" s="54" t="s">
        <v>128</v>
      </c>
      <c r="E33" s="87" t="s">
        <v>30</v>
      </c>
      <c r="F33" s="87" t="s">
        <v>104</v>
      </c>
      <c r="G33" s="87" t="s">
        <v>129</v>
      </c>
      <c r="H33" s="87" t="s">
        <v>130</v>
      </c>
      <c r="I33" s="87" t="s">
        <v>131</v>
      </c>
      <c r="J33" s="87" t="s">
        <v>34</v>
      </c>
      <c r="K33" s="87" t="s">
        <v>132</v>
      </c>
      <c r="L33" s="87" t="s">
        <v>133</v>
      </c>
      <c r="M33" s="82">
        <v>1</v>
      </c>
      <c r="N33" s="82">
        <v>2</v>
      </c>
      <c r="O33" s="82">
        <f t="shared" si="0"/>
        <v>2</v>
      </c>
      <c r="P33" s="81" t="s">
        <v>37</v>
      </c>
    </row>
    <row r="34" spans="1:16" ht="62.45">
      <c r="A34" s="80" t="s">
        <v>122</v>
      </c>
      <c r="B34" s="80" t="s">
        <v>134</v>
      </c>
      <c r="C34" s="80" t="s">
        <v>124</v>
      </c>
      <c r="D34" s="54" t="s">
        <v>135</v>
      </c>
      <c r="E34" s="87" t="s">
        <v>30</v>
      </c>
      <c r="F34" s="87" t="s">
        <v>136</v>
      </c>
      <c r="G34" s="87" t="s">
        <v>129</v>
      </c>
      <c r="H34" s="87" t="s">
        <v>130</v>
      </c>
      <c r="I34" s="87" t="s">
        <v>131</v>
      </c>
      <c r="J34" s="87" t="s">
        <v>34</v>
      </c>
      <c r="K34" s="87" t="s">
        <v>132</v>
      </c>
      <c r="L34" s="87" t="s">
        <v>137</v>
      </c>
      <c r="M34" s="82">
        <v>1</v>
      </c>
      <c r="N34" s="82">
        <v>1</v>
      </c>
      <c r="O34" s="82">
        <f t="shared" si="0"/>
        <v>1</v>
      </c>
      <c r="P34" s="81" t="s">
        <v>93</v>
      </c>
    </row>
    <row r="35" spans="1:16">
      <c r="A35" s="80" t="s">
        <v>122</v>
      </c>
      <c r="B35" s="80" t="s">
        <v>138</v>
      </c>
      <c r="C35" s="80" t="s">
        <v>52</v>
      </c>
      <c r="D35" s="54" t="s">
        <v>64</v>
      </c>
      <c r="E35" s="87" t="s">
        <v>20</v>
      </c>
      <c r="F35" s="87" t="s">
        <v>21</v>
      </c>
      <c r="G35" s="87" t="s">
        <v>21</v>
      </c>
      <c r="H35" s="87" t="s">
        <v>21</v>
      </c>
      <c r="I35" s="87" t="s">
        <v>21</v>
      </c>
      <c r="J35" s="87" t="s">
        <v>21</v>
      </c>
      <c r="K35" s="87" t="s">
        <v>21</v>
      </c>
      <c r="L35" s="87" t="s">
        <v>21</v>
      </c>
      <c r="M35" s="82" t="s">
        <v>22</v>
      </c>
      <c r="N35" s="82" t="s">
        <v>22</v>
      </c>
      <c r="O35" s="82" t="s">
        <v>21</v>
      </c>
      <c r="P35" s="81" t="s">
        <v>37</v>
      </c>
    </row>
    <row r="36" spans="1:16" ht="24.95">
      <c r="A36" s="80" t="s">
        <v>139</v>
      </c>
      <c r="B36" s="80" t="s">
        <v>140</v>
      </c>
      <c r="C36" s="80" t="s">
        <v>75</v>
      </c>
      <c r="D36" s="54" t="s">
        <v>141</v>
      </c>
      <c r="E36" s="87" t="s">
        <v>20</v>
      </c>
      <c r="F36" s="87" t="s">
        <v>21</v>
      </c>
      <c r="G36" s="87" t="s">
        <v>21</v>
      </c>
      <c r="H36" s="87" t="s">
        <v>21</v>
      </c>
      <c r="I36" s="87" t="s">
        <v>21</v>
      </c>
      <c r="J36" s="87" t="s">
        <v>21</v>
      </c>
      <c r="K36" s="87" t="s">
        <v>21</v>
      </c>
      <c r="L36" s="87" t="s">
        <v>21</v>
      </c>
      <c r="M36" s="82" t="s">
        <v>22</v>
      </c>
      <c r="N36" s="82" t="s">
        <v>22</v>
      </c>
      <c r="O36" s="82" t="s">
        <v>21</v>
      </c>
      <c r="P36" s="81" t="s">
        <v>142</v>
      </c>
    </row>
    <row r="37" spans="1:16" ht="24.95">
      <c r="A37" s="80" t="s">
        <v>139</v>
      </c>
      <c r="B37" s="80" t="s">
        <v>143</v>
      </c>
      <c r="C37" s="80" t="s">
        <v>75</v>
      </c>
      <c r="D37" s="83" t="s">
        <v>144</v>
      </c>
      <c r="E37" s="86" t="s">
        <v>20</v>
      </c>
      <c r="F37" s="86" t="s">
        <v>21</v>
      </c>
      <c r="G37" s="86" t="s">
        <v>21</v>
      </c>
      <c r="H37" s="86" t="s">
        <v>21</v>
      </c>
      <c r="I37" s="86" t="s">
        <v>21</v>
      </c>
      <c r="J37" s="86" t="s">
        <v>21</v>
      </c>
      <c r="K37" s="86" t="s">
        <v>21</v>
      </c>
      <c r="L37" s="86" t="s">
        <v>21</v>
      </c>
      <c r="M37" s="81" t="s">
        <v>22</v>
      </c>
      <c r="N37" s="81" t="s">
        <v>22</v>
      </c>
      <c r="O37" s="81" t="s">
        <v>21</v>
      </c>
      <c r="P37" s="81" t="s">
        <v>76</v>
      </c>
    </row>
    <row r="38" spans="1:16" ht="24.95">
      <c r="A38" s="80" t="s">
        <v>139</v>
      </c>
      <c r="B38" s="80" t="s">
        <v>145</v>
      </c>
      <c r="C38" s="80" t="s">
        <v>52</v>
      </c>
      <c r="D38" s="54" t="s">
        <v>146</v>
      </c>
      <c r="E38" s="87" t="s">
        <v>20</v>
      </c>
      <c r="F38" s="87" t="s">
        <v>21</v>
      </c>
      <c r="G38" s="87" t="s">
        <v>21</v>
      </c>
      <c r="H38" s="87" t="s">
        <v>21</v>
      </c>
      <c r="I38" s="87" t="s">
        <v>21</v>
      </c>
      <c r="J38" s="87" t="s">
        <v>21</v>
      </c>
      <c r="K38" s="87" t="s">
        <v>21</v>
      </c>
      <c r="L38" s="87" t="s">
        <v>21</v>
      </c>
      <c r="M38" s="82" t="s">
        <v>22</v>
      </c>
      <c r="N38" s="82" t="s">
        <v>22</v>
      </c>
      <c r="O38" s="82" t="s">
        <v>21</v>
      </c>
      <c r="P38" s="81" t="s">
        <v>93</v>
      </c>
    </row>
    <row r="39" spans="1:16" ht="24.95">
      <c r="A39" s="80" t="s">
        <v>139</v>
      </c>
      <c r="B39" s="80" t="s">
        <v>147</v>
      </c>
      <c r="C39" s="80" t="s">
        <v>75</v>
      </c>
      <c r="D39" s="54" t="s">
        <v>148</v>
      </c>
      <c r="E39" s="87" t="s">
        <v>20</v>
      </c>
      <c r="F39" s="87" t="s">
        <v>21</v>
      </c>
      <c r="G39" s="87" t="s">
        <v>21</v>
      </c>
      <c r="H39" s="87" t="s">
        <v>21</v>
      </c>
      <c r="I39" s="87" t="s">
        <v>21</v>
      </c>
      <c r="J39" s="87" t="s">
        <v>21</v>
      </c>
      <c r="K39" s="87" t="s">
        <v>21</v>
      </c>
      <c r="L39" s="90" t="s">
        <v>21</v>
      </c>
      <c r="M39" s="82" t="s">
        <v>22</v>
      </c>
      <c r="N39" s="82" t="s">
        <v>22</v>
      </c>
      <c r="O39" s="82" t="s">
        <v>21</v>
      </c>
      <c r="P39" s="81" t="s">
        <v>93</v>
      </c>
    </row>
    <row r="40" spans="1:16" ht="37.5">
      <c r="A40" s="80" t="s">
        <v>139</v>
      </c>
      <c r="B40" s="80" t="s">
        <v>149</v>
      </c>
      <c r="C40" s="80" t="s">
        <v>75</v>
      </c>
      <c r="D40" s="54" t="s">
        <v>150</v>
      </c>
      <c r="E40" s="87" t="s">
        <v>20</v>
      </c>
      <c r="F40" s="87" t="s">
        <v>21</v>
      </c>
      <c r="G40" s="87" t="s">
        <v>21</v>
      </c>
      <c r="H40" s="87" t="s">
        <v>21</v>
      </c>
      <c r="I40" s="87" t="s">
        <v>21</v>
      </c>
      <c r="J40" s="87" t="s">
        <v>21</v>
      </c>
      <c r="K40" s="87" t="s">
        <v>21</v>
      </c>
      <c r="L40" s="87" t="s">
        <v>21</v>
      </c>
      <c r="M40" s="82" t="s">
        <v>22</v>
      </c>
      <c r="N40" s="82" t="s">
        <v>22</v>
      </c>
      <c r="O40" s="82" t="s">
        <v>21</v>
      </c>
      <c r="P40" s="81" t="s">
        <v>151</v>
      </c>
    </row>
    <row r="41" spans="1:16" ht="62.45">
      <c r="A41" s="80" t="s">
        <v>152</v>
      </c>
      <c r="B41" s="80" t="s">
        <v>153</v>
      </c>
      <c r="C41" s="80" t="s">
        <v>124</v>
      </c>
      <c r="D41" s="54" t="s">
        <v>154</v>
      </c>
      <c r="E41" s="87" t="s">
        <v>30</v>
      </c>
      <c r="F41" s="87" t="s">
        <v>56</v>
      </c>
      <c r="G41" s="87" t="s">
        <v>155</v>
      </c>
      <c r="H41" s="87" t="s">
        <v>21</v>
      </c>
      <c r="I41" s="87" t="s">
        <v>33</v>
      </c>
      <c r="J41" s="89" t="s">
        <v>34</v>
      </c>
      <c r="K41" s="89" t="s">
        <v>156</v>
      </c>
      <c r="L41" s="87" t="s">
        <v>157</v>
      </c>
      <c r="M41" s="82">
        <v>2</v>
      </c>
      <c r="N41" s="82">
        <v>1</v>
      </c>
      <c r="O41" s="82">
        <f t="shared" si="0"/>
        <v>2</v>
      </c>
      <c r="P41" s="81" t="s">
        <v>151</v>
      </c>
    </row>
    <row r="42" spans="1:16" ht="62.45">
      <c r="A42" s="80" t="s">
        <v>152</v>
      </c>
      <c r="B42" s="80" t="s">
        <v>158</v>
      </c>
      <c r="C42" s="80" t="s">
        <v>52</v>
      </c>
      <c r="D42" s="54" t="s">
        <v>159</v>
      </c>
      <c r="E42" s="87" t="s">
        <v>30</v>
      </c>
      <c r="F42" s="87" t="s">
        <v>89</v>
      </c>
      <c r="G42" s="87" t="s">
        <v>160</v>
      </c>
      <c r="H42" s="87" t="s">
        <v>161</v>
      </c>
      <c r="I42" s="87" t="s">
        <v>162</v>
      </c>
      <c r="J42" s="89" t="s">
        <v>34</v>
      </c>
      <c r="K42" s="89" t="s">
        <v>163</v>
      </c>
      <c r="L42" s="89" t="s">
        <v>164</v>
      </c>
      <c r="M42" s="82">
        <v>2</v>
      </c>
      <c r="N42" s="82">
        <v>1</v>
      </c>
      <c r="O42" s="82">
        <f>M42+N42-1</f>
        <v>2</v>
      </c>
      <c r="P42" s="81" t="s">
        <v>142</v>
      </c>
    </row>
    <row r="43" spans="1:16" ht="24.95">
      <c r="A43" s="80" t="s">
        <v>152</v>
      </c>
      <c r="B43" s="80" t="s">
        <v>165</v>
      </c>
      <c r="C43" s="80" t="s">
        <v>75</v>
      </c>
      <c r="D43" s="54" t="s">
        <v>166</v>
      </c>
      <c r="E43" s="87" t="s">
        <v>20</v>
      </c>
      <c r="F43" s="87" t="s">
        <v>21</v>
      </c>
      <c r="G43" s="87" t="s">
        <v>21</v>
      </c>
      <c r="H43" s="87" t="s">
        <v>21</v>
      </c>
      <c r="I43" s="87" t="s">
        <v>21</v>
      </c>
      <c r="J43" s="87" t="s">
        <v>21</v>
      </c>
      <c r="K43" s="87" t="s">
        <v>21</v>
      </c>
      <c r="L43" s="87" t="s">
        <v>21</v>
      </c>
      <c r="M43" s="82" t="s">
        <v>22</v>
      </c>
      <c r="N43" s="82" t="s">
        <v>22</v>
      </c>
      <c r="O43" s="82" t="s">
        <v>21</v>
      </c>
      <c r="P43" s="81" t="s">
        <v>142</v>
      </c>
    </row>
    <row r="44" spans="1:16">
      <c r="A44" s="80" t="s">
        <v>152</v>
      </c>
      <c r="B44" s="80" t="s">
        <v>167</v>
      </c>
      <c r="C44" s="80" t="s">
        <v>75</v>
      </c>
      <c r="D44" s="54" t="s">
        <v>64</v>
      </c>
      <c r="E44" s="87" t="s">
        <v>20</v>
      </c>
      <c r="F44" s="87" t="s">
        <v>21</v>
      </c>
      <c r="G44" s="87" t="s">
        <v>21</v>
      </c>
      <c r="H44" s="87" t="s">
        <v>21</v>
      </c>
      <c r="I44" s="87" t="s">
        <v>21</v>
      </c>
      <c r="J44" s="87" t="s">
        <v>21</v>
      </c>
      <c r="K44" s="87" t="s">
        <v>21</v>
      </c>
      <c r="L44" s="87" t="s">
        <v>21</v>
      </c>
      <c r="M44" s="82" t="s">
        <v>22</v>
      </c>
      <c r="N44" s="82" t="s">
        <v>22</v>
      </c>
      <c r="O44" s="82" t="s">
        <v>21</v>
      </c>
      <c r="P44" s="81" t="s">
        <v>37</v>
      </c>
    </row>
    <row r="45" spans="1:16">
      <c r="A45" s="80" t="s">
        <v>152</v>
      </c>
      <c r="B45" s="80" t="s">
        <v>168</v>
      </c>
      <c r="C45" s="80" t="s">
        <v>18</v>
      </c>
      <c r="D45" s="54" t="s">
        <v>64</v>
      </c>
      <c r="E45" s="87" t="s">
        <v>20</v>
      </c>
      <c r="F45" s="87" t="s">
        <v>21</v>
      </c>
      <c r="G45" s="87" t="s">
        <v>21</v>
      </c>
      <c r="H45" s="87" t="s">
        <v>21</v>
      </c>
      <c r="I45" s="87" t="s">
        <v>21</v>
      </c>
      <c r="J45" s="87" t="s">
        <v>21</v>
      </c>
      <c r="K45" s="87" t="s">
        <v>21</v>
      </c>
      <c r="L45" s="87" t="s">
        <v>21</v>
      </c>
      <c r="M45" s="82" t="s">
        <v>22</v>
      </c>
      <c r="N45" s="82" t="s">
        <v>22</v>
      </c>
      <c r="O45" s="82" t="s">
        <v>21</v>
      </c>
      <c r="P45" s="81" t="s">
        <v>169</v>
      </c>
    </row>
  </sheetData>
  <autoFilter ref="A1:Q1" xr:uid="{18EC33FB-AB6F-4502-AB5F-A240F102E67D}"/>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G3"/>
  <sheetViews>
    <sheetView zoomScaleNormal="100" workbookViewId="0">
      <pane ySplit="2" topLeftCell="A3" activePane="bottomLeft" state="frozen"/>
      <selection pane="bottomLeft" activeCell="A3" sqref="A3"/>
    </sheetView>
  </sheetViews>
  <sheetFormatPr defaultColWidth="10.85546875" defaultRowHeight="12.6"/>
  <cols>
    <col min="1" max="1" width="28.85546875" customWidth="1"/>
    <col min="2" max="2" width="36.42578125" customWidth="1"/>
    <col min="3" max="3" width="60.5703125" customWidth="1"/>
    <col min="4" max="7" width="5.5703125" customWidth="1"/>
  </cols>
  <sheetData>
    <row r="1" spans="1:7" ht="12.95">
      <c r="A1" s="5"/>
      <c r="B1" s="6"/>
      <c r="C1" s="6"/>
      <c r="D1" s="91" t="s">
        <v>170</v>
      </c>
      <c r="E1" s="91"/>
      <c r="F1" s="91"/>
      <c r="G1" s="91"/>
    </row>
    <row r="2" spans="1:7" ht="51.95">
      <c r="A2" s="62" t="s">
        <v>171</v>
      </c>
      <c r="B2" s="63" t="s">
        <v>172</v>
      </c>
      <c r="C2" s="63" t="s">
        <v>173</v>
      </c>
      <c r="D2" s="64" t="s">
        <v>174</v>
      </c>
      <c r="E2" s="64" t="s">
        <v>175</v>
      </c>
      <c r="F2" s="64" t="s">
        <v>176</v>
      </c>
      <c r="G2" s="65" t="s">
        <v>177</v>
      </c>
    </row>
    <row r="3" spans="1:7" ht="139.5">
      <c r="A3" s="7" t="s">
        <v>178</v>
      </c>
      <c r="B3" s="7" t="s">
        <v>179</v>
      </c>
      <c r="C3" s="8" t="s">
        <v>180</v>
      </c>
      <c r="D3" t="s">
        <v>181</v>
      </c>
      <c r="E3" t="s">
        <v>182</v>
      </c>
      <c r="F3" t="s">
        <v>181</v>
      </c>
      <c r="G3" t="s">
        <v>182</v>
      </c>
    </row>
  </sheetData>
  <mergeCells count="1">
    <mergeCell ref="D1:G1"/>
  </mergeCells>
  <conditionalFormatting sqref="D3:G3">
    <cfRule type="containsText" dxfId="8" priority="1" operator="containsText" text="A">
      <formula>NOT(ISERROR(SEARCH("A",D3)))</formula>
    </cfRule>
    <cfRule type="containsText" dxfId="7" priority="2" operator="containsText" text="B">
      <formula>NOT(ISERROR(SEARCH("B",D3)))</formula>
    </cfRule>
    <cfRule type="containsText" dxfId="6" priority="3" operator="containsText" text="C">
      <formula>NOT(ISERROR(SEARCH("C",D3)))</formula>
    </cfRule>
    <cfRule type="containsText" dxfId="5" priority="4" operator="containsText" text="D">
      <formula>NOT(ISERROR(SEARCH("D",D3)))</formula>
    </cfRule>
    <cfRule type="containsText" dxfId="4" priority="5" operator="containsText" text="E">
      <formula>NOT(ISERROR(SEARCH("E",D3)))</formula>
    </cfRule>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T38"/>
  <sheetViews>
    <sheetView topLeftCell="A10" workbookViewId="0">
      <selection activeCell="B21" sqref="B21"/>
    </sheetView>
  </sheetViews>
  <sheetFormatPr defaultColWidth="10.85546875" defaultRowHeight="12.6"/>
  <cols>
    <col min="1" max="1" width="9.85546875" customWidth="1"/>
    <col min="2" max="2" width="14.140625" bestFit="1" customWidth="1"/>
    <col min="3" max="6" width="40.5703125" customWidth="1"/>
    <col min="7" max="8" width="3.5703125" customWidth="1"/>
    <col min="9" max="13" width="8.42578125" customWidth="1"/>
    <col min="14" max="26" width="3.42578125" bestFit="1" customWidth="1"/>
  </cols>
  <sheetData>
    <row r="1" spans="1:46" ht="13.5" thickBot="1">
      <c r="A1" s="4" t="s">
        <v>183</v>
      </c>
      <c r="C1" s="9"/>
      <c r="D1" s="10"/>
      <c r="E1" s="10"/>
      <c r="F1" s="10"/>
      <c r="G1" s="92" t="s">
        <v>184</v>
      </c>
      <c r="H1" s="93"/>
      <c r="I1" s="96" t="s">
        <v>185</v>
      </c>
      <c r="J1" s="97"/>
      <c r="K1" s="97"/>
      <c r="L1" s="97"/>
      <c r="M1" s="98"/>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row>
    <row r="2" spans="1:46" ht="12.75" customHeight="1" thickBot="1">
      <c r="A2" s="11" t="s">
        <v>186</v>
      </c>
      <c r="B2" s="12" t="s">
        <v>187</v>
      </c>
      <c r="C2" s="13" t="s">
        <v>188</v>
      </c>
      <c r="G2" s="94"/>
      <c r="H2" s="95"/>
      <c r="I2" s="14" t="s">
        <v>45</v>
      </c>
      <c r="J2" s="15" t="s">
        <v>75</v>
      </c>
      <c r="K2" s="15" t="s">
        <v>182</v>
      </c>
      <c r="L2" s="15" t="s">
        <v>181</v>
      </c>
      <c r="M2" s="16" t="s">
        <v>124</v>
      </c>
    </row>
    <row r="3" spans="1:46">
      <c r="A3" s="17" t="s">
        <v>21</v>
      </c>
      <c r="B3" s="3" t="s">
        <v>30</v>
      </c>
      <c r="C3" s="18" t="s">
        <v>189</v>
      </c>
      <c r="G3" s="99" t="s">
        <v>14</v>
      </c>
      <c r="H3" s="19">
        <v>1</v>
      </c>
      <c r="I3" s="20" t="s">
        <v>190</v>
      </c>
      <c r="J3" s="21" t="s">
        <v>190</v>
      </c>
      <c r="K3" s="21" t="s">
        <v>190</v>
      </c>
      <c r="L3" s="21" t="s">
        <v>190</v>
      </c>
      <c r="M3" s="22" t="s">
        <v>190</v>
      </c>
    </row>
    <row r="4" spans="1:46" ht="12.95" thickBot="1">
      <c r="A4" s="14" t="s">
        <v>21</v>
      </c>
      <c r="B4" s="15" t="s">
        <v>20</v>
      </c>
      <c r="C4" s="16" t="s">
        <v>191</v>
      </c>
      <c r="G4" s="100"/>
      <c r="H4" s="18">
        <v>2</v>
      </c>
      <c r="I4" s="23" t="s">
        <v>190</v>
      </c>
      <c r="J4" s="3" t="s">
        <v>190</v>
      </c>
      <c r="K4" s="3" t="s">
        <v>190</v>
      </c>
      <c r="L4" s="3" t="s">
        <v>192</v>
      </c>
      <c r="M4" s="18" t="s">
        <v>192</v>
      </c>
    </row>
    <row r="5" spans="1:46" ht="12.95">
      <c r="A5" s="4"/>
      <c r="G5" s="100"/>
      <c r="H5" s="18">
        <v>3</v>
      </c>
      <c r="I5" s="23" t="s">
        <v>190</v>
      </c>
      <c r="J5" s="3" t="s">
        <v>190</v>
      </c>
      <c r="K5" s="3" t="s">
        <v>192</v>
      </c>
      <c r="L5" s="3" t="s">
        <v>192</v>
      </c>
      <c r="M5" s="18" t="s">
        <v>193</v>
      </c>
    </row>
    <row r="6" spans="1:46" ht="13.5" thickBot="1">
      <c r="A6" s="4" t="s">
        <v>194</v>
      </c>
      <c r="G6" s="100"/>
      <c r="H6" s="18">
        <v>4</v>
      </c>
      <c r="I6" s="23" t="s">
        <v>190</v>
      </c>
      <c r="J6" s="3" t="s">
        <v>192</v>
      </c>
      <c r="K6" s="3" t="s">
        <v>192</v>
      </c>
      <c r="L6" s="3" t="s">
        <v>193</v>
      </c>
      <c r="M6" s="18" t="s">
        <v>195</v>
      </c>
    </row>
    <row r="7" spans="1:46" ht="13.5" thickBot="1">
      <c r="A7" s="24" t="s">
        <v>186</v>
      </c>
      <c r="B7" s="25" t="s">
        <v>187</v>
      </c>
      <c r="C7" s="25" t="s">
        <v>12</v>
      </c>
      <c r="D7" s="26" t="s">
        <v>13</v>
      </c>
      <c r="G7" s="101"/>
      <c r="H7" s="16">
        <v>5</v>
      </c>
      <c r="I7" s="27" t="s">
        <v>190</v>
      </c>
      <c r="J7" s="15" t="s">
        <v>192</v>
      </c>
      <c r="K7" s="15" t="s">
        <v>193</v>
      </c>
      <c r="L7" s="15" t="s">
        <v>195</v>
      </c>
      <c r="M7" s="16" t="s">
        <v>195</v>
      </c>
    </row>
    <row r="8" spans="1:46" ht="112.5">
      <c r="A8" s="28">
        <v>1</v>
      </c>
      <c r="B8" s="29" t="s">
        <v>196</v>
      </c>
      <c r="C8" s="30" t="s">
        <v>197</v>
      </c>
      <c r="D8" s="31" t="s">
        <v>198</v>
      </c>
    </row>
    <row r="9" spans="1:46" ht="112.5">
      <c r="A9" s="32">
        <v>2</v>
      </c>
      <c r="B9" s="33" t="s">
        <v>199</v>
      </c>
      <c r="C9" s="34" t="s">
        <v>200</v>
      </c>
      <c r="D9" s="35" t="s">
        <v>201</v>
      </c>
    </row>
    <row r="10" spans="1:46" ht="113.1" thickBot="1">
      <c r="A10" s="36">
        <v>3</v>
      </c>
      <c r="B10" s="37" t="s">
        <v>202</v>
      </c>
      <c r="C10" s="38" t="s">
        <v>203</v>
      </c>
      <c r="D10" s="39" t="s">
        <v>204</v>
      </c>
    </row>
    <row r="11" spans="1:46">
      <c r="C11" s="40"/>
      <c r="D11" s="41"/>
    </row>
    <row r="15" spans="1:46" ht="13.5" thickBot="1">
      <c r="A15" s="4" t="s">
        <v>205</v>
      </c>
    </row>
    <row r="16" spans="1:46" ht="13.5" thickBot="1">
      <c r="A16" s="24" t="s">
        <v>206</v>
      </c>
      <c r="B16" s="25" t="s">
        <v>187</v>
      </c>
      <c r="C16" s="25" t="s">
        <v>174</v>
      </c>
      <c r="D16" s="25" t="s">
        <v>175</v>
      </c>
      <c r="E16" s="25" t="s">
        <v>176</v>
      </c>
      <c r="F16" s="26" t="s">
        <v>207</v>
      </c>
    </row>
    <row r="17" spans="1:6" ht="50.1">
      <c r="A17" s="42" t="s">
        <v>124</v>
      </c>
      <c r="B17" s="43" t="s">
        <v>208</v>
      </c>
      <c r="C17" s="44" t="s">
        <v>209</v>
      </c>
      <c r="D17" s="44" t="s">
        <v>210</v>
      </c>
      <c r="E17" s="45" t="s">
        <v>211</v>
      </c>
      <c r="F17" s="46" t="s">
        <v>212</v>
      </c>
    </row>
    <row r="18" spans="1:6" ht="62.45">
      <c r="A18" s="17" t="s">
        <v>181</v>
      </c>
      <c r="B18" s="3" t="s">
        <v>202</v>
      </c>
      <c r="C18" s="47" t="s">
        <v>213</v>
      </c>
      <c r="D18" s="7" t="s">
        <v>214</v>
      </c>
      <c r="E18" s="48" t="s">
        <v>215</v>
      </c>
      <c r="F18" s="49" t="s">
        <v>216</v>
      </c>
    </row>
    <row r="19" spans="1:6" ht="87.6">
      <c r="A19" s="17" t="s">
        <v>182</v>
      </c>
      <c r="B19" s="3" t="s">
        <v>199</v>
      </c>
      <c r="C19" s="47" t="s">
        <v>217</v>
      </c>
      <c r="D19" s="7" t="s">
        <v>218</v>
      </c>
      <c r="E19" s="48" t="s">
        <v>219</v>
      </c>
      <c r="F19" s="49" t="s">
        <v>220</v>
      </c>
    </row>
    <row r="20" spans="1:6" ht="50.1">
      <c r="A20" s="17" t="s">
        <v>75</v>
      </c>
      <c r="B20" s="3" t="s">
        <v>196</v>
      </c>
      <c r="C20" s="47" t="s">
        <v>221</v>
      </c>
      <c r="D20" s="7" t="s">
        <v>222</v>
      </c>
      <c r="E20" s="48" t="s">
        <v>223</v>
      </c>
      <c r="F20" s="49" t="s">
        <v>224</v>
      </c>
    </row>
    <row r="21" spans="1:6" ht="25.5" thickBot="1">
      <c r="A21" s="14" t="s">
        <v>45</v>
      </c>
      <c r="B21" s="15" t="s">
        <v>225</v>
      </c>
      <c r="C21" s="50" t="s">
        <v>226</v>
      </c>
      <c r="D21" s="51" t="s">
        <v>227</v>
      </c>
      <c r="E21" s="52" t="s">
        <v>228</v>
      </c>
      <c r="F21" s="53" t="s">
        <v>229</v>
      </c>
    </row>
    <row r="25" spans="1:6" ht="13.5" thickBot="1">
      <c r="C25" s="55" t="s">
        <v>230</v>
      </c>
      <c r="D25" s="56"/>
    </row>
    <row r="26" spans="1:6">
      <c r="C26" s="57" t="s">
        <v>231</v>
      </c>
      <c r="D26" s="58" t="s">
        <v>232</v>
      </c>
    </row>
    <row r="27" spans="1:6">
      <c r="C27" s="59" t="s">
        <v>233</v>
      </c>
      <c r="D27" s="60" t="s">
        <v>33</v>
      </c>
    </row>
    <row r="28" spans="1:6">
      <c r="C28" s="59"/>
      <c r="D28" s="60" t="s">
        <v>234</v>
      </c>
    </row>
    <row r="29" spans="1:6">
      <c r="C29" s="59"/>
      <c r="D29" s="60" t="s">
        <v>235</v>
      </c>
    </row>
    <row r="30" spans="1:6">
      <c r="C30" s="59"/>
      <c r="D30" s="60" t="s">
        <v>236</v>
      </c>
    </row>
    <row r="31" spans="1:6">
      <c r="C31" s="59"/>
      <c r="D31" s="60" t="s">
        <v>237</v>
      </c>
    </row>
    <row r="32" spans="1:6">
      <c r="C32" s="102" t="s">
        <v>238</v>
      </c>
      <c r="D32" s="60" t="s">
        <v>239</v>
      </c>
    </row>
    <row r="33" spans="3:4">
      <c r="C33" s="103"/>
      <c r="D33" s="60" t="s">
        <v>240</v>
      </c>
    </row>
    <row r="34" spans="3:4">
      <c r="C34" s="103"/>
      <c r="D34" s="60" t="s">
        <v>241</v>
      </c>
    </row>
    <row r="35" spans="3:4">
      <c r="C35" s="103"/>
      <c r="D35" s="60" t="s">
        <v>242</v>
      </c>
    </row>
    <row r="36" spans="3:4">
      <c r="C36" s="103"/>
      <c r="D36" s="60" t="s">
        <v>243</v>
      </c>
    </row>
    <row r="37" spans="3:4">
      <c r="C37" s="103"/>
      <c r="D37" s="60" t="s">
        <v>244</v>
      </c>
    </row>
    <row r="38" spans="3:4" ht="25.5" thickBot="1">
      <c r="C38" s="104"/>
      <c r="D38" s="61" t="s">
        <v>245</v>
      </c>
    </row>
  </sheetData>
  <mergeCells count="4">
    <mergeCell ref="G1:H2"/>
    <mergeCell ref="I1:M1"/>
    <mergeCell ref="G3:G7"/>
    <mergeCell ref="C32:C38"/>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C3E1A-8A77-46C8-AEDA-4AA87AC0D3E1}">
  <sheetPr codeName="Tabelle4"/>
  <dimension ref="A1:AV8"/>
  <sheetViews>
    <sheetView zoomScale="80" zoomScaleNormal="80" workbookViewId="0">
      <pane xSplit="2" ySplit="4" topLeftCell="C5" activePane="bottomRight" state="frozen"/>
      <selection pane="bottomRight" activeCell="G4" sqref="G4"/>
      <selection pane="bottomLeft" activeCell="A5" sqref="A5"/>
      <selection pane="topRight" activeCell="C1" sqref="C1"/>
    </sheetView>
  </sheetViews>
  <sheetFormatPr defaultColWidth="10.85546875" defaultRowHeight="12.6"/>
  <cols>
    <col min="1" max="1" width="31.5703125" bestFit="1" customWidth="1"/>
    <col min="2" max="2" width="12.5703125" bestFit="1" customWidth="1"/>
    <col min="3" max="46" width="3.42578125" bestFit="1" customWidth="1"/>
    <col min="48" max="48" width="3.42578125" bestFit="1" customWidth="1"/>
  </cols>
  <sheetData>
    <row r="1" spans="1:48" ht="187.5" customHeight="1">
      <c r="A1" s="105" t="s">
        <v>246</v>
      </c>
      <c r="B1" s="106"/>
      <c r="C1" s="66" t="s">
        <v>17</v>
      </c>
      <c r="D1" s="66" t="s">
        <v>23</v>
      </c>
      <c r="E1" s="66" t="s">
        <v>25</v>
      </c>
      <c r="F1" s="66" t="s">
        <v>26</v>
      </c>
      <c r="G1" s="66" t="s">
        <v>28</v>
      </c>
      <c r="H1" s="66" t="s">
        <v>28</v>
      </c>
      <c r="I1" s="66" t="s">
        <v>41</v>
      </c>
      <c r="J1" s="66" t="s">
        <v>44</v>
      </c>
      <c r="K1" s="66" t="s">
        <v>46</v>
      </c>
      <c r="L1" s="66" t="s">
        <v>47</v>
      </c>
      <c r="M1" s="66" t="s">
        <v>48</v>
      </c>
      <c r="N1" s="66" t="s">
        <v>49</v>
      </c>
      <c r="O1" s="66" t="s">
        <v>51</v>
      </c>
      <c r="P1" s="66" t="s">
        <v>54</v>
      </c>
      <c r="Q1" s="66" t="s">
        <v>60</v>
      </c>
      <c r="R1" s="66" t="s">
        <v>63</v>
      </c>
      <c r="S1" s="66" t="s">
        <v>65</v>
      </c>
      <c r="T1" s="66" t="s">
        <v>67</v>
      </c>
      <c r="U1" s="66" t="s">
        <v>74</v>
      </c>
      <c r="V1" s="66" t="s">
        <v>77</v>
      </c>
      <c r="W1" s="66" t="s">
        <v>78</v>
      </c>
      <c r="X1" s="66" t="s">
        <v>85</v>
      </c>
      <c r="Y1" s="66" t="s">
        <v>87</v>
      </c>
      <c r="Z1" s="66" t="s">
        <v>94</v>
      </c>
      <c r="AA1" s="66" t="s">
        <v>96</v>
      </c>
      <c r="AB1" s="66" t="s">
        <v>102</v>
      </c>
      <c r="AC1" s="66" t="s">
        <v>109</v>
      </c>
      <c r="AD1" s="66" t="s">
        <v>115</v>
      </c>
      <c r="AE1" s="66" t="s">
        <v>120</v>
      </c>
      <c r="AF1" s="66" t="s">
        <v>123</v>
      </c>
      <c r="AG1" s="66" t="s">
        <v>126</v>
      </c>
      <c r="AH1" s="66" t="s">
        <v>127</v>
      </c>
      <c r="AI1" s="66" t="s">
        <v>134</v>
      </c>
      <c r="AJ1" s="66" t="s">
        <v>138</v>
      </c>
      <c r="AK1" s="66" t="s">
        <v>140</v>
      </c>
      <c r="AL1" s="66" t="s">
        <v>143</v>
      </c>
      <c r="AM1" s="66" t="s">
        <v>145</v>
      </c>
      <c r="AN1" s="66" t="s">
        <v>147</v>
      </c>
      <c r="AO1" s="66" t="s">
        <v>149</v>
      </c>
      <c r="AP1" s="66" t="s">
        <v>153</v>
      </c>
      <c r="AQ1" s="66" t="s">
        <v>158</v>
      </c>
      <c r="AR1" s="66" t="s">
        <v>165</v>
      </c>
      <c r="AS1" s="66" t="s">
        <v>167</v>
      </c>
      <c r="AT1" s="66" t="s">
        <v>168</v>
      </c>
      <c r="AU1" s="21"/>
      <c r="AV1" s="67" t="s">
        <v>247</v>
      </c>
    </row>
    <row r="2" spans="1:48" ht="53.45">
      <c r="A2" s="107" t="s">
        <v>248</v>
      </c>
      <c r="B2" s="108"/>
      <c r="C2" s="68" t="s">
        <v>249</v>
      </c>
      <c r="D2" s="68" t="s">
        <v>250</v>
      </c>
      <c r="E2" s="68" t="s">
        <v>251</v>
      </c>
      <c r="F2" s="68" t="s">
        <v>252</v>
      </c>
      <c r="G2" s="68" t="s">
        <v>253</v>
      </c>
      <c r="H2" s="68" t="s">
        <v>254</v>
      </c>
      <c r="I2" s="68" t="s">
        <v>255</v>
      </c>
      <c r="J2" s="68" t="s">
        <v>256</v>
      </c>
      <c r="K2" s="68" t="s">
        <v>257</v>
      </c>
      <c r="L2" s="68" t="s">
        <v>258</v>
      </c>
      <c r="M2" s="68" t="s">
        <v>259</v>
      </c>
      <c r="N2" s="68" t="s">
        <v>260</v>
      </c>
      <c r="O2" s="68" t="s">
        <v>261</v>
      </c>
      <c r="P2" s="68" t="s">
        <v>262</v>
      </c>
      <c r="Q2" s="68" t="s">
        <v>263</v>
      </c>
      <c r="R2" s="68" t="s">
        <v>264</v>
      </c>
      <c r="S2" s="68" t="s">
        <v>265</v>
      </c>
      <c r="T2" s="68" t="s">
        <v>266</v>
      </c>
      <c r="U2" s="68" t="s">
        <v>267</v>
      </c>
      <c r="V2" s="68" t="s">
        <v>268</v>
      </c>
      <c r="W2" s="68" t="s">
        <v>269</v>
      </c>
      <c r="X2" s="68" t="s">
        <v>270</v>
      </c>
      <c r="Y2" s="68" t="s">
        <v>271</v>
      </c>
      <c r="Z2" s="68" t="s">
        <v>272</v>
      </c>
      <c r="AA2" s="68" t="s">
        <v>273</v>
      </c>
      <c r="AB2" s="68" t="s">
        <v>274</v>
      </c>
      <c r="AC2" s="68" t="s">
        <v>275</v>
      </c>
      <c r="AD2" s="68" t="s">
        <v>276</v>
      </c>
      <c r="AE2" s="68" t="s">
        <v>277</v>
      </c>
      <c r="AF2" s="68" t="s">
        <v>278</v>
      </c>
      <c r="AG2" s="68" t="s">
        <v>279</v>
      </c>
      <c r="AH2" s="68" t="s">
        <v>280</v>
      </c>
      <c r="AI2" s="68" t="s">
        <v>281</v>
      </c>
      <c r="AJ2" s="68" t="s">
        <v>282</v>
      </c>
      <c r="AK2" s="68" t="s">
        <v>283</v>
      </c>
      <c r="AL2" s="68" t="s">
        <v>284</v>
      </c>
      <c r="AM2" s="68" t="s">
        <v>285</v>
      </c>
      <c r="AN2" s="68" t="s">
        <v>286</v>
      </c>
      <c r="AO2" s="68" t="s">
        <v>287</v>
      </c>
      <c r="AP2" s="68" t="s">
        <v>288</v>
      </c>
      <c r="AQ2" s="68" t="s">
        <v>289</v>
      </c>
      <c r="AR2" s="68" t="s">
        <v>290</v>
      </c>
      <c r="AS2" s="68" t="s">
        <v>291</v>
      </c>
      <c r="AT2" s="68" t="s">
        <v>292</v>
      </c>
      <c r="AU2" s="3"/>
      <c r="AV2" s="69"/>
    </row>
    <row r="3" spans="1:48" ht="26.1">
      <c r="A3" s="107" t="s">
        <v>293</v>
      </c>
      <c r="B3" s="108"/>
      <c r="C3" s="68" t="s">
        <v>21</v>
      </c>
      <c r="D3" s="68" t="s">
        <v>21</v>
      </c>
      <c r="E3" s="68" t="s">
        <v>21</v>
      </c>
      <c r="F3" s="68" t="s">
        <v>21</v>
      </c>
      <c r="G3" s="68" t="s">
        <v>37</v>
      </c>
      <c r="H3" s="68" t="s">
        <v>37</v>
      </c>
      <c r="I3" s="68" t="s">
        <v>37</v>
      </c>
      <c r="J3" s="68" t="s">
        <v>21</v>
      </c>
      <c r="K3" s="68" t="s">
        <v>21</v>
      </c>
      <c r="L3" s="68" t="s">
        <v>21</v>
      </c>
      <c r="M3" s="68" t="s">
        <v>21</v>
      </c>
      <c r="N3" s="68" t="s">
        <v>21</v>
      </c>
      <c r="O3" s="68" t="s">
        <v>21</v>
      </c>
      <c r="P3" s="68" t="s">
        <v>37</v>
      </c>
      <c r="Q3" s="68" t="s">
        <v>21</v>
      </c>
      <c r="R3" s="68" t="s">
        <v>37</v>
      </c>
      <c r="S3" s="68" t="s">
        <v>37</v>
      </c>
      <c r="T3" s="68" t="s">
        <v>37</v>
      </c>
      <c r="U3" s="68" t="s">
        <v>76</v>
      </c>
      <c r="V3" s="68" t="s">
        <v>76</v>
      </c>
      <c r="W3" s="68" t="s">
        <v>76</v>
      </c>
      <c r="X3" s="68" t="s">
        <v>76</v>
      </c>
      <c r="Y3" s="68" t="s">
        <v>93</v>
      </c>
      <c r="Z3" s="68" t="s">
        <v>76</v>
      </c>
      <c r="AA3" s="68" t="s">
        <v>76</v>
      </c>
      <c r="AB3" s="68" t="s">
        <v>93</v>
      </c>
      <c r="AC3" s="68" t="s">
        <v>93</v>
      </c>
      <c r="AD3" s="68" t="s">
        <v>93</v>
      </c>
      <c r="AE3" s="68" t="s">
        <v>21</v>
      </c>
      <c r="AF3" s="68" t="s">
        <v>37</v>
      </c>
      <c r="AG3" s="68" t="s">
        <v>37</v>
      </c>
      <c r="AH3" s="68" t="s">
        <v>37</v>
      </c>
      <c r="AI3" s="68" t="s">
        <v>93</v>
      </c>
      <c r="AJ3" s="68" t="s">
        <v>37</v>
      </c>
      <c r="AK3" s="68" t="s">
        <v>142</v>
      </c>
      <c r="AL3" s="68" t="s">
        <v>76</v>
      </c>
      <c r="AM3" s="68" t="s">
        <v>93</v>
      </c>
      <c r="AN3" s="68" t="s">
        <v>93</v>
      </c>
      <c r="AO3" s="68" t="s">
        <v>151</v>
      </c>
      <c r="AP3" s="68" t="s">
        <v>151</v>
      </c>
      <c r="AQ3" s="68" t="s">
        <v>142</v>
      </c>
      <c r="AR3" s="68" t="s">
        <v>142</v>
      </c>
      <c r="AS3" s="68" t="s">
        <v>37</v>
      </c>
      <c r="AT3" s="68" t="s">
        <v>169</v>
      </c>
      <c r="AU3" s="3"/>
      <c r="AV3" s="69"/>
    </row>
    <row r="4" spans="1:48" ht="11.45" customHeight="1">
      <c r="A4" s="109" t="s">
        <v>294</v>
      </c>
      <c r="B4" s="110"/>
      <c r="C4" s="79"/>
      <c r="D4" s="79"/>
      <c r="E4" s="79"/>
      <c r="F4" s="79"/>
      <c r="G4" s="79">
        <v>2</v>
      </c>
      <c r="H4" s="79">
        <v>2</v>
      </c>
      <c r="I4" s="79"/>
      <c r="J4" s="79"/>
      <c r="K4" s="79"/>
      <c r="L4" s="79"/>
      <c r="M4" s="79"/>
      <c r="N4" s="79"/>
      <c r="O4" s="79"/>
      <c r="P4" s="79">
        <v>2</v>
      </c>
      <c r="Q4" s="79"/>
      <c r="R4" s="79"/>
      <c r="S4" s="79"/>
      <c r="T4" s="79">
        <v>1</v>
      </c>
      <c r="U4" s="79"/>
      <c r="V4" s="79"/>
      <c r="W4" s="79">
        <v>2</v>
      </c>
      <c r="X4" s="79"/>
      <c r="Y4" s="79">
        <v>1</v>
      </c>
      <c r="Z4" s="79"/>
      <c r="AA4" s="79">
        <v>2</v>
      </c>
      <c r="AB4" s="79">
        <v>1</v>
      </c>
      <c r="AC4" s="79">
        <v>1</v>
      </c>
      <c r="AD4" s="79">
        <v>2</v>
      </c>
      <c r="AE4" s="79"/>
      <c r="AF4" s="79"/>
      <c r="AG4" s="79"/>
      <c r="AH4" s="79">
        <v>1</v>
      </c>
      <c r="AI4" s="79">
        <v>1</v>
      </c>
      <c r="AJ4" s="79"/>
      <c r="AK4" s="79"/>
      <c r="AL4" s="79"/>
      <c r="AM4" s="79"/>
      <c r="AN4" s="79"/>
      <c r="AO4" s="79"/>
      <c r="AP4" s="79">
        <v>2</v>
      </c>
      <c r="AQ4" s="79">
        <v>2</v>
      </c>
      <c r="AR4" s="79"/>
      <c r="AS4" s="79"/>
      <c r="AT4" s="79"/>
      <c r="AU4" s="79"/>
      <c r="AV4" s="70"/>
    </row>
    <row r="5" spans="1:48">
      <c r="A5" s="111" t="s">
        <v>178</v>
      </c>
      <c r="B5" s="78" t="s">
        <v>295</v>
      </c>
      <c r="C5" s="71"/>
      <c r="D5" s="72"/>
      <c r="E5" s="72"/>
      <c r="F5" s="72"/>
      <c r="G5" s="72"/>
      <c r="H5" s="72"/>
      <c r="I5" s="72"/>
      <c r="J5" s="72"/>
      <c r="K5" s="72"/>
      <c r="L5" s="72"/>
      <c r="M5" s="72"/>
      <c r="N5" s="72"/>
      <c r="O5" s="72"/>
      <c r="P5" s="72" t="s">
        <v>296</v>
      </c>
      <c r="Q5" s="72"/>
      <c r="R5" s="72"/>
      <c r="S5" s="72"/>
      <c r="T5" s="72"/>
      <c r="U5" s="72"/>
      <c r="V5" s="72"/>
      <c r="W5" s="72"/>
      <c r="X5" s="72"/>
      <c r="Y5" s="72"/>
      <c r="Z5" s="72"/>
      <c r="AA5" s="72"/>
      <c r="AB5" s="72"/>
      <c r="AC5" s="72"/>
      <c r="AD5" s="72"/>
      <c r="AE5" s="72"/>
      <c r="AF5" s="72"/>
      <c r="AG5" s="72"/>
      <c r="AH5" s="72"/>
      <c r="AI5" s="72" t="s">
        <v>297</v>
      </c>
      <c r="AJ5" s="72"/>
      <c r="AK5" s="72"/>
      <c r="AL5" s="72"/>
      <c r="AM5" s="72"/>
      <c r="AN5" s="72"/>
      <c r="AO5" s="72"/>
      <c r="AP5" s="72" t="s">
        <v>296</v>
      </c>
      <c r="AQ5" s="72"/>
      <c r="AR5" s="72"/>
      <c r="AS5" s="72"/>
      <c r="AT5" s="72"/>
      <c r="AU5" s="72"/>
      <c r="AV5" s="73" t="s">
        <v>296</v>
      </c>
    </row>
    <row r="6" spans="1:48">
      <c r="A6" s="112"/>
      <c r="B6" t="s">
        <v>69</v>
      </c>
      <c r="C6" s="74"/>
      <c r="D6" s="75"/>
      <c r="E6" s="75"/>
      <c r="F6" s="75"/>
      <c r="G6" s="75" t="s">
        <v>296</v>
      </c>
      <c r="H6" s="75" t="s">
        <v>297</v>
      </c>
      <c r="I6" s="75"/>
      <c r="J6" s="75"/>
      <c r="K6" s="75"/>
      <c r="L6" s="75"/>
      <c r="M6" s="75"/>
      <c r="N6" s="75"/>
      <c r="O6" s="75"/>
      <c r="P6" s="75" t="s">
        <v>297</v>
      </c>
      <c r="Q6" s="75"/>
      <c r="R6" s="75"/>
      <c r="S6" s="75"/>
      <c r="T6" s="75" t="s">
        <v>297</v>
      </c>
      <c r="U6" s="75"/>
      <c r="V6" s="75"/>
      <c r="W6" s="75"/>
      <c r="X6" s="75"/>
      <c r="Y6" s="75"/>
      <c r="Z6" s="75"/>
      <c r="AA6" s="75"/>
      <c r="AB6" s="75" t="s">
        <v>297</v>
      </c>
      <c r="AC6" s="75" t="s">
        <v>297</v>
      </c>
      <c r="AD6" s="75" t="s">
        <v>297</v>
      </c>
      <c r="AE6" s="75"/>
      <c r="AF6" s="75"/>
      <c r="AG6" s="75"/>
      <c r="AH6" s="75" t="s">
        <v>297</v>
      </c>
      <c r="AI6" s="75" t="s">
        <v>297</v>
      </c>
      <c r="AJ6" s="75"/>
      <c r="AK6" s="75"/>
      <c r="AL6" s="75"/>
      <c r="AM6" s="75"/>
      <c r="AN6" s="75"/>
      <c r="AO6" s="75"/>
      <c r="AP6" s="75" t="s">
        <v>297</v>
      </c>
      <c r="AQ6" s="75"/>
      <c r="AR6" s="75"/>
      <c r="AS6" s="75"/>
      <c r="AT6" s="75"/>
      <c r="AU6" s="75"/>
      <c r="AV6" s="76" t="s">
        <v>296</v>
      </c>
    </row>
    <row r="7" spans="1:48">
      <c r="A7" s="112"/>
      <c r="B7" t="s">
        <v>80</v>
      </c>
      <c r="C7" s="74"/>
      <c r="D7" s="75"/>
      <c r="E7" s="75"/>
      <c r="F7" s="75"/>
      <c r="G7" s="75" t="s">
        <v>296</v>
      </c>
      <c r="H7" s="75" t="s">
        <v>296</v>
      </c>
      <c r="I7" s="75"/>
      <c r="J7" s="75"/>
      <c r="K7" s="75"/>
      <c r="L7" s="75"/>
      <c r="M7" s="75"/>
      <c r="N7" s="75"/>
      <c r="O7" s="75"/>
      <c r="P7" s="75" t="s">
        <v>296</v>
      </c>
      <c r="Q7" s="75"/>
      <c r="R7" s="75"/>
      <c r="S7" s="75"/>
      <c r="T7" s="75"/>
      <c r="U7" s="75"/>
      <c r="V7" s="75"/>
      <c r="W7" s="75" t="s">
        <v>296</v>
      </c>
      <c r="X7" s="75"/>
      <c r="Y7" s="75" t="s">
        <v>297</v>
      </c>
      <c r="Z7" s="75"/>
      <c r="AA7" s="75" t="s">
        <v>296</v>
      </c>
      <c r="AB7" s="75"/>
      <c r="AC7" s="75" t="s">
        <v>297</v>
      </c>
      <c r="AD7" s="75" t="s">
        <v>296</v>
      </c>
      <c r="AE7" s="75"/>
      <c r="AF7" s="75"/>
      <c r="AG7" s="75"/>
      <c r="AH7" s="75"/>
      <c r="AI7" s="75"/>
      <c r="AJ7" s="75"/>
      <c r="AK7" s="75"/>
      <c r="AL7" s="75"/>
      <c r="AM7" s="75"/>
      <c r="AN7" s="75"/>
      <c r="AO7" s="75"/>
      <c r="AP7" s="75" t="s">
        <v>296</v>
      </c>
      <c r="AQ7" s="75" t="s">
        <v>296</v>
      </c>
      <c r="AR7" s="75"/>
      <c r="AS7" s="75"/>
      <c r="AT7" s="75"/>
      <c r="AU7" s="75"/>
      <c r="AV7" s="76" t="s">
        <v>296</v>
      </c>
    </row>
    <row r="8" spans="1:48">
      <c r="A8" s="112"/>
      <c r="B8" t="s">
        <v>177</v>
      </c>
      <c r="C8" s="74"/>
      <c r="D8" s="75"/>
      <c r="E8" s="75"/>
      <c r="F8" s="75"/>
      <c r="G8" s="75" t="s">
        <v>296</v>
      </c>
      <c r="H8" s="75" t="s">
        <v>297</v>
      </c>
      <c r="I8" s="75"/>
      <c r="J8" s="75"/>
      <c r="K8" s="75"/>
      <c r="L8" s="75"/>
      <c r="M8" s="75"/>
      <c r="N8" s="75"/>
      <c r="O8" s="75"/>
      <c r="P8" s="75" t="s">
        <v>297</v>
      </c>
      <c r="Q8" s="75"/>
      <c r="R8" s="75"/>
      <c r="S8" s="75"/>
      <c r="T8" s="75"/>
      <c r="U8" s="75"/>
      <c r="V8" s="75"/>
      <c r="W8" s="75"/>
      <c r="X8" s="75"/>
      <c r="Y8" s="75" t="s">
        <v>297</v>
      </c>
      <c r="Z8" s="75"/>
      <c r="AA8" s="75"/>
      <c r="AB8" s="75" t="s">
        <v>297</v>
      </c>
      <c r="AC8" s="75" t="s">
        <v>297</v>
      </c>
      <c r="AD8" s="75" t="s">
        <v>297</v>
      </c>
      <c r="AE8" s="75"/>
      <c r="AF8" s="75"/>
      <c r="AG8" s="75"/>
      <c r="AH8" s="75" t="s">
        <v>297</v>
      </c>
      <c r="AI8" s="75" t="s">
        <v>297</v>
      </c>
      <c r="AJ8" s="75"/>
      <c r="AK8" s="75"/>
      <c r="AL8" s="75"/>
      <c r="AM8" s="75"/>
      <c r="AN8" s="75"/>
      <c r="AO8" s="75"/>
      <c r="AP8" s="75" t="s">
        <v>297</v>
      </c>
      <c r="AQ8" s="75" t="s">
        <v>297</v>
      </c>
      <c r="AR8" s="75"/>
      <c r="AS8" s="75"/>
      <c r="AT8" s="75"/>
      <c r="AU8" s="75"/>
      <c r="AV8" s="76" t="s">
        <v>296</v>
      </c>
    </row>
  </sheetData>
  <mergeCells count="5">
    <mergeCell ref="A1:B1"/>
    <mergeCell ref="A2:B2"/>
    <mergeCell ref="A3:B3"/>
    <mergeCell ref="A4:B4"/>
    <mergeCell ref="A5:A8"/>
  </mergeCells>
  <conditionalFormatting sqref="C5:AV8">
    <cfRule type="containsText" dxfId="3" priority="1" stopIfTrue="1" operator="containsText" text="E">
      <formula>NOT(ISERROR(SEARCH("E",C5)))</formula>
    </cfRule>
    <cfRule type="containsText" dxfId="2" priority="2" stopIfTrue="1" operator="containsText" text="H">
      <formula>NOT(ISERROR(SEARCH("H",C5)))</formula>
    </cfRule>
    <cfRule type="containsText" dxfId="1" priority="3" stopIfTrue="1" operator="containsText" text="M">
      <formula>NOT(ISERROR(SEARCH("M",C5)))</formula>
    </cfRule>
    <cfRule type="containsText" dxfId="0" priority="4" stopIfTrue="1" operator="containsText" text="L">
      <formula>NOT(ISERROR(SEARCH("L",C5)))</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50A7-700B-4628-871D-F4E49FBE0C64}">
  <sheetPr codeName="Tabelle5"/>
  <dimension ref="B1:I3"/>
  <sheetViews>
    <sheetView workbookViewId="0">
      <selection activeCell="C3" sqref="C3:I3"/>
    </sheetView>
  </sheetViews>
  <sheetFormatPr defaultColWidth="10.85546875" defaultRowHeight="12.6"/>
  <cols>
    <col min="2" max="2" width="25.5703125" bestFit="1" customWidth="1"/>
    <col min="3" max="9" width="5" bestFit="1" customWidth="1"/>
  </cols>
  <sheetData>
    <row r="1" spans="2:9" ht="12.95" thickBot="1"/>
    <row r="2" spans="2:9" ht="12.95">
      <c r="B2" s="11" t="s">
        <v>298</v>
      </c>
      <c r="C2" s="43" t="s">
        <v>151</v>
      </c>
      <c r="D2" s="43" t="s">
        <v>142</v>
      </c>
      <c r="E2" s="43" t="s">
        <v>93</v>
      </c>
      <c r="F2" s="43" t="s">
        <v>76</v>
      </c>
      <c r="G2" s="43" t="s">
        <v>299</v>
      </c>
      <c r="H2" s="43" t="s">
        <v>169</v>
      </c>
      <c r="I2" s="19" t="s">
        <v>37</v>
      </c>
    </row>
    <row r="3" spans="2:9" ht="13.5" thickBot="1">
      <c r="B3" s="77" t="s">
        <v>300</v>
      </c>
      <c r="C3" s="15">
        <v>2</v>
      </c>
      <c r="D3" s="15">
        <v>2</v>
      </c>
      <c r="E3" s="15">
        <v>2</v>
      </c>
      <c r="F3" s="15">
        <v>2</v>
      </c>
      <c r="G3" s="15">
        <v>1</v>
      </c>
      <c r="H3" s="15">
        <v>1</v>
      </c>
      <c r="I3" s="16">
        <v>2</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AE149B63507BB49B88FD2788651A5D2" ma:contentTypeVersion="10" ma:contentTypeDescription="Create a new document." ma:contentTypeScope="" ma:versionID="9a8b5c6df8db6e656f7f12c63871af0b">
  <xsd:schema xmlns:xsd="http://www.w3.org/2001/XMLSchema" xmlns:xs="http://www.w3.org/2001/XMLSchema" xmlns:p="http://schemas.microsoft.com/office/2006/metadata/properties" xmlns:ns2="a37444e7-752d-41c7-8829-41e239dffc54" xmlns:ns3="9ec4227b-dd92-4127-86f6-a5f726006cc6" targetNamespace="http://schemas.microsoft.com/office/2006/metadata/properties" ma:root="true" ma:fieldsID="2f7b03a1ebd1a351329b4107f5cfb2ac" ns2:_="" ns3:_="">
    <xsd:import namespace="a37444e7-752d-41c7-8829-41e239dffc54"/>
    <xsd:import namespace="9ec4227b-dd92-4127-86f6-a5f726006cc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7444e7-752d-41c7-8829-41e239dffc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ec4227b-dd92-4127-86f6-a5f726006cc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AD5BF9-69FE-4DEF-A84F-793E50C93DF1}"/>
</file>

<file path=customXml/itemProps2.xml><?xml version="1.0" encoding="utf-8"?>
<ds:datastoreItem xmlns:ds="http://schemas.openxmlformats.org/officeDocument/2006/customXml" ds:itemID="{668D5466-DC46-45F4-BBD9-07E2E33A5188}"/>
</file>

<file path=customXml/itemProps3.xml><?xml version="1.0" encoding="utf-8"?>
<ds:datastoreItem xmlns:ds="http://schemas.openxmlformats.org/officeDocument/2006/customXml" ds:itemID="{09D6FE46-6571-48BA-AEC6-413703573BA9}"/>
</file>

<file path=docProps/app.xml><?xml version="1.0" encoding="utf-8"?>
<Properties xmlns="http://schemas.openxmlformats.org/officeDocument/2006/extended-properties" xmlns:vt="http://schemas.openxmlformats.org/officeDocument/2006/docPropsVTypes">
  <Application>Microsoft Excel Online</Application>
  <Manager/>
  <Company>Assystem Germany GmbH</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Bernhard Ruff</dc:creator>
  <cp:keywords/>
  <dc:description/>
  <cp:lastModifiedBy>Oualid Khial</cp:lastModifiedBy>
  <cp:revision/>
  <dcterms:created xsi:type="dcterms:W3CDTF">2020-11-24T08:15:52Z</dcterms:created>
  <dcterms:modified xsi:type="dcterms:W3CDTF">2022-10-29T15:41:53Z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0x0101003AE149B63507BB49B88FD2788651A5D2</vt:lpwstr>
  </property>
</Properties>
</file>